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Core Canvas" sheetId="1" r:id="rId5"/>
    <sheet state="visible" name="01 Offer Pricing" sheetId="2" r:id="rId6"/>
    <sheet state="visible" name="02 Funnel GTM" sheetId="3" r:id="rId7"/>
    <sheet state="visible" name="03 Leader B2B2C" sheetId="4" r:id="rId8"/>
    <sheet state="visible" name="04 Marketing 30D" sheetId="5" r:id="rId9"/>
    <sheet state="visible" name="05 Ops Tracker" sheetId="6" r:id="rId10"/>
    <sheet state="visible" name="06 KPI Dashboard" sheetId="7" r:id="rId11"/>
    <sheet state="visible" name="07 CRM Flow" sheetId="8" r:id="rId12"/>
    <sheet state="visible" name="08 Risk Rules" sheetId="9" r:id="rId13"/>
    <sheet state="visible" name="Lists" sheetId="10" r:id="rId14"/>
    <sheet state="visible" name="09 Strategy Core" sheetId="11" r:id="rId15"/>
    <sheet state="visible" name="10 Partners" sheetId="12" r:id="rId16"/>
    <sheet state="visible" name="11 CTV Product" sheetId="13" r:id="rId17"/>
    <sheet state="visible" name="12 Gift Event" sheetId="14" r:id="rId18"/>
    <sheet state="visible" name="13 Policy Matrix" sheetId="15" r:id="rId19"/>
    <sheet state="visible" name="14 Growth Dashboard" sheetId="16" r:id="rId20"/>
  </sheets>
  <definedNames/>
  <calcPr/>
</workbook>
</file>

<file path=xl/sharedStrings.xml><?xml version="1.0" encoding="utf-8"?>
<sst xmlns="http://schemas.openxmlformats.org/spreadsheetml/2006/main" count="1487" uniqueCount="955">
  <si>
    <t>CORE STRATEGY CANVAS – GIỌT LÀNH MỖI SÁNG</t>
  </si>
  <si>
    <t>Bản core để toàn brand theo dõi chiến lược Membership F&amp;B: Thẻ Giọt Lành An Nhiên + Thẻ Ban Mai</t>
  </si>
  <si>
    <t>1. Định vị</t>
  </si>
  <si>
    <t>2. Big Idea</t>
  </si>
  <si>
    <t>3. Mô hình</t>
  </si>
  <si>
    <t>Healthy lifestyle tiện lợi, an lành và có gu cho người bận rộn. Không bán rẻ; bán đặc quyền và thói quen ban mai.</t>
  </si>
  <si>
    <t>Giọt Lành Mỗi Sáng – một giọt lành nhỏ cho ngày mới an nhiên, dễ duy trì và không cần phức tạp.</t>
  </si>
  <si>
    <t>B2B2C qua Leader/KOC, văn phòng, studio yoga/pilates, spa/salon và các điểm gom đơn buổi sáng.</t>
  </si>
  <si>
    <t>4. Sản phẩm mồi</t>
  </si>
  <si>
    <t>5. Sản phẩm upsell</t>
  </si>
  <si>
    <t>6. 3 vị sữa hạt</t>
  </si>
  <si>
    <t>Thẻ Giọt Lành An Nhiên: 199K mở thẻ, sữa hạt signature 15K/chai, tối đa 3 chai/ngày.</t>
  </si>
  <si>
    <t>Thẻ Ban Mai: 249K mở thẻ, set bữa sáng Ban Mai 60K gồm trà, sữa hạt, ginger shot, gạo lứt, topping và trứng.</t>
  </si>
  <si>
    <t>Mộc Mè – Lạc Hương – Mộc Đậu. Menu dùng tên thương hiệu; tem/FAQ vẫn minh bạch thành phần mè, lạc, đậu nành.</t>
  </si>
  <si>
    <t>7. Khách hàng lõi</t>
  </si>
  <si>
    <t>8. Chiến lược phễu</t>
  </si>
  <si>
    <t>9. Kênh chính</t>
  </si>
  <si>
    <t>Nữ văn phòng 22–40, người bận rộn, khách wellness, nhóm văn phòng đặt sáng, người mới bắt đầu healthy.</t>
  </si>
  <si>
    <t>Awareness → Trial → Membership → Habit → Upsell Ban Mai → Retention → Referral/Advocacy.</t>
  </si>
  <si>
    <t>Leader/KOC + group order văn phòng/studio/spa là kênh chính. Ads chỉ chạy sau khi có feedback và nội dung thật.</t>
  </si>
  <si>
    <t>10. KPI pilot 30 ngày</t>
  </si>
  <si>
    <t>11. Nguyên tắc vận hành</t>
  </si>
  <si>
    <t>12. Rủi ro cần khóa</t>
  </si>
  <si>
    <t>300–500 thẻ Giọt Lành; 100–150 thẻ Ban Mai; 20–30 Leader; ≥60% hội viên dùng thẻ trong 7 ngày đầu.</t>
  </si>
  <si>
    <t>Ban Mai cần pre-order trước 21h; sữa tracking theo SĐT/QR; forecast theo active rate; kiểm soát cost/chai ≤9–10K.</t>
  </si>
  <si>
    <t>Không dùng claim chữa bệnh/giảm cân thần kỳ; không gọi 'rẻ nhất'; không giấu dị ứng; không để 1–3 trà trong set chính.</t>
  </si>
  <si>
    <t>NORTH STAR: Không bán một món uống. Bán một thói quen ban mai an lành, tiện và có gu.</t>
  </si>
  <si>
    <t>OFFER &amp; PRICING CANVAS</t>
  </si>
  <si>
    <t>Chốt sản phẩm, quyền lợi, giá, cost mục tiêu và các biến số để toàn workbook tham chiếu</t>
  </si>
  <si>
    <t>Biến số vận hành</t>
  </si>
  <si>
    <t>Giá trị</t>
  </si>
  <si>
    <t>Ghi chú</t>
  </si>
  <si>
    <t>Giá thẻ Giọt Lành An Nhiên</t>
  </si>
  <si>
    <t>Phí mở đặc quyền sữa hạt</t>
  </si>
  <si>
    <t>Giá thẻ Ban Mai</t>
  </si>
  <si>
    <t>Phí mở đặc quyền bữa sáng</t>
  </si>
  <si>
    <t>Giá sữa hội viên/chai</t>
  </si>
  <si>
    <t>Áp dụng 3 vị signature</t>
  </si>
  <si>
    <t>Giá set Ban Mai hội viên</t>
  </si>
  <si>
    <t>Set tiêu chuẩn</t>
  </si>
  <si>
    <t>Cost mục tiêu sữa/chai</t>
  </si>
  <si>
    <t>Bao gồm nguyên liệu, chai, tem, hao hụt cơ bản</t>
  </si>
  <si>
    <t>Cost mục tiêu set Ban Mai</t>
  </si>
  <si>
    <t>Tổng cost mục tiêu để giữ biên</t>
  </si>
  <si>
    <t>Hoa hồng thẻ Giọt Lành</t>
  </si>
  <si>
    <t>Có thể điều chỉnh 40–50K</t>
  </si>
  <si>
    <t>Hoa hồng thẻ Ban Mai</t>
  </si>
  <si>
    <t>Có thể điều chỉnh 50–60K</t>
  </si>
  <si>
    <t>Giới hạn sữa/ngày/hội viên</t>
  </si>
  <si>
    <t>Không chuyển nhượng tự do</t>
  </si>
  <si>
    <t>Target thẻ Giọt Lành 30D</t>
  </si>
  <si>
    <t>Pilot 30 ngày</t>
  </si>
  <si>
    <t>Target thẻ Ban Mai 30D</t>
  </si>
  <si>
    <t>Target chai sữa 30D</t>
  </si>
  <si>
    <t>Target set Ban Mai 30D</t>
  </si>
  <si>
    <t>Target doanh thu pilot</t>
  </si>
  <si>
    <t>Tự tính theo target</t>
  </si>
  <si>
    <t>Target giao đúng giờ</t>
  </si>
  <si>
    <t>Mục tiêu vận hành</t>
  </si>
  <si>
    <t>Membership</t>
  </si>
  <si>
    <t>Giá thẻ</t>
  </si>
  <si>
    <t>Quyền lợi chính</t>
  </si>
  <si>
    <t>Giá hội viên</t>
  </si>
  <si>
    <t>Giới hạn</t>
  </si>
  <si>
    <t>Vai trò trong phễu</t>
  </si>
  <si>
    <t>Ghi chú vận hành</t>
  </si>
  <si>
    <t>Thẻ Giọt Lành An Nhiên</t>
  </si>
  <si>
    <t>Mua sữa hạt signature</t>
  </si>
  <si>
    <t>15K/chai</t>
  </si>
  <si>
    <t>Tối đa 3 chai/ngày</t>
  </si>
  <si>
    <t>Sản phẩm mồi, kéo khách mới, tạo thói quen</t>
  </si>
  <si>
    <t>Gắn với SĐT/QR, không cộng dồn ưu đãi</t>
  </si>
  <si>
    <t>Thẻ Ban Mai</t>
  </si>
  <si>
    <t>Mua set bữa sáng Ban Mai</t>
  </si>
  <si>
    <t>60K/set</t>
  </si>
  <si>
    <t>Ưu tiên đặt trước 21h hôm trước</t>
  </si>
  <si>
    <t>Upsell, tăng giá trị đơn hàng, hợp group order</t>
  </si>
  <si>
    <t>Set tiêu chuẩn gồm 1 trà; trà thêm mua ưu đãi riêng</t>
  </si>
  <si>
    <t>Tên menu</t>
  </si>
  <si>
    <t>Thành phần chính</t>
  </si>
  <si>
    <t>Mô tả thương hiệu</t>
  </si>
  <si>
    <t>Use case</t>
  </si>
  <si>
    <t>Ghi chú nhãn/FAQ</t>
  </si>
  <si>
    <t>Mộc Mè</t>
  </si>
  <si>
    <t>Mè</t>
  </si>
  <si>
    <t>Vị thanh bùi, mộc, nhẹ bụng, hợp buổi sáng.</t>
  </si>
  <si>
    <t>Khách thích vị thanh, nhẹ</t>
  </si>
  <si>
    <t>Ghi rõ mè trên tem để minh bạch dị ứng</t>
  </si>
  <si>
    <t>Lạc Hương</t>
  </si>
  <si>
    <t>Lạc</t>
  </si>
  <si>
    <t>Hương thơm ấm, béo nhẹ, dễ uống, phù hợp người thích vị đậm.</t>
  </si>
  <si>
    <t>Khách thích vị béo, thơm</t>
  </si>
  <si>
    <t>Ghi rõ lạc trên tem để minh bạch dị ứng</t>
  </si>
  <si>
    <t>Mộc Đậu</t>
  </si>
  <si>
    <t>Đậu nành</t>
  </si>
  <si>
    <t>Vị mộc, quen thuộc, êm, dễ dùng mỗi ngày.</t>
  </si>
  <si>
    <t>Khách mới bắt đầu healthy</t>
  </si>
  <si>
    <t>Ghi rõ đậu nành trên tem để minh bạch dị ứng</t>
  </si>
  <si>
    <t>Dòng doanh thu</t>
  </si>
  <si>
    <t>Giá bán/đơn vị</t>
  </si>
  <si>
    <t>Cost mục tiêu</t>
  </si>
  <si>
    <t>Biên gộp/đơn vị</t>
  </si>
  <si>
    <t>Biên gộp %</t>
  </si>
  <si>
    <t>Hoa hồng Leader</t>
  </si>
  <si>
    <t>Net còn lại sau HH</t>
  </si>
  <si>
    <t>Sữa hạt/chai</t>
  </si>
  <si>
    <t>Công thức lấy từ biến số vận hành</t>
  </si>
  <si>
    <t>Set Ban Mai</t>
  </si>
  <si>
    <t>Giữ set tiêu chuẩn để không vỡ cost</t>
  </si>
  <si>
    <t>Tiền thẻ tạo cashflow và trả CAC leader</t>
  </si>
  <si>
    <t>Ưu tiên upsell sau khi khách dùng sữa 3–5 lần</t>
  </si>
  <si>
    <t>Nguyên tắc chốt: 15K/chai là giá đặc quyền hội viên, không phải chiến lược bán rẻ. Thẻ Ban Mai cần giữ set tiêu chuẩn 1 chai trà; nếu muốn thêm trà, bán bằng ưu đãi riêng để bảo vệ biên lợi nhuận.</t>
  </si>
  <si>
    <t>FUNNEL &amp; GO-TO-MARKET CANVAS</t>
  </si>
  <si>
    <t>Phễu triển khai từ nhận diện đến membership, upsell và referral</t>
  </si>
  <si>
    <t>Giai đoạn</t>
  </si>
  <si>
    <t>Mục tiêu</t>
  </si>
  <si>
    <t>Hành động chính</t>
  </si>
  <si>
    <t>Offer chính</t>
  </si>
  <si>
    <t>Kênh</t>
  </si>
  <si>
    <t>Owner đề xuất</t>
  </si>
  <si>
    <t>KPI chính</t>
  </si>
  <si>
    <t>Trạng thái</t>
  </si>
  <si>
    <t>1. Awareness</t>
  </si>
  <si>
    <t>Khách biết có đặc quyền mới</t>
  </si>
  <si>
    <t>Leader/KOC đăng teaser; story menu; video ngắn 'sữa hạt 15K là gì?'</t>
  </si>
  <si>
    <t>Leader, fanpage, TikTok/Reels</t>
  </si>
  <si>
    <t>Marketing Lead</t>
  </si>
  <si>
    <t>Reach, inbox, lead</t>
  </si>
  <si>
    <t>Chưa bắt đầu</t>
  </si>
  <si>
    <t>Không dùng ngôn ngữ rẻ nhất</t>
  </si>
  <si>
    <t>2. Trial</t>
  </si>
  <si>
    <t>Khách thử vị và tin sản phẩm</t>
  </si>
  <si>
    <t>Tasting 3 vị; sample cho Leader mạnh; voucher chai đầu</t>
  </si>
  <si>
    <t>Mộc Mè, Lạc Hương, Mộc Đậu</t>
  </si>
  <si>
    <t>Văn phòng, studio, spa</t>
  </si>
  <si>
    <t>Sales/Leader Lead</t>
  </si>
  <si>
    <t>Tỷ lệ thử → mua thẻ</t>
  </si>
  <si>
    <t>Lấy feedback thật</t>
  </si>
  <si>
    <t>3. Membership</t>
  </si>
  <si>
    <t>Bán thẻ 199K</t>
  </si>
  <si>
    <t>Chốt bằng script: 199K mở thẻ, sữa 15K/chai</t>
  </si>
  <si>
    <t>Inbox, QR, leader code</t>
  </si>
  <si>
    <t>Sales Lead</t>
  </si>
  <si>
    <t>Số thẻ bán/ngày</t>
  </si>
  <si>
    <t>Tracking theo SĐT/QR</t>
  </si>
  <si>
    <t>4. Habit</t>
  </si>
  <si>
    <t>Khách dùng đều trong 7 ngày đầu</t>
  </si>
  <si>
    <t>Menu hằng ngày; nhắc lịch; challenge 7–21 ngày</t>
  </si>
  <si>
    <t>Sữa hạt 15K</t>
  </si>
  <si>
    <t>Zalo, story, CRM</t>
  </si>
  <si>
    <t>CRM/Ops</t>
  </si>
  <si>
    <t>Tỷ lệ active 7D</t>
  </si>
  <si>
    <t>Ưu tiên trải nghiệm lần đầu</t>
  </si>
  <si>
    <t>5. Upsell</t>
  </si>
  <si>
    <t>Tăng AOV từ 15K lên 60K</t>
  </si>
  <si>
    <t>Sau 3–5 lần mua sữa, mời thử/nâng cấp Ban Mai</t>
  </si>
  <si>
    <t>CRM, leader, group order</t>
  </si>
  <si>
    <t>Tỷ lệ nâng cấp</t>
  </si>
  <si>
    <t>Không upsell quá sớm</t>
  </si>
  <si>
    <t>6. Retention</t>
  </si>
  <si>
    <t>Giữ khách lâu dài</t>
  </si>
  <si>
    <t>Combo tuần; menu mới; feedback; ưu đãi nâng cấp</t>
  </si>
  <si>
    <t>Ban Mai, ginger shot, trà, hũ mạch</t>
  </si>
  <si>
    <t>CRM, cộng đồng hội viên</t>
  </si>
  <si>
    <t>CRM Lead</t>
  </si>
  <si>
    <t>Active 30D, repeat rate</t>
  </si>
  <si>
    <t>Theo dõi vị yêu thích</t>
  </si>
  <si>
    <t>7. Advocacy</t>
  </si>
  <si>
    <t>Khách giới thiệu khách mới</t>
  </si>
  <si>
    <t>Referral: giới thiệu bạn mở thẻ nhận voucher/nâng cấp</t>
  </si>
  <si>
    <t>Cả 2 thẻ</t>
  </si>
  <si>
    <t>Referral code, leader</t>
  </si>
  <si>
    <t>Marketing/Sales</t>
  </si>
  <si>
    <t>Referral rate</t>
  </si>
  <si>
    <t>Không tặng free quá nhiều</t>
  </si>
  <si>
    <t>LEADER / B2B2C CANVAS</t>
  </si>
  <si>
    <t>Quản trị mạng lưới Leader, chính sách hoa hồng và tracker doanh số</t>
  </si>
  <si>
    <t>Nhóm Leader</t>
  </si>
  <si>
    <t>Lý do phù hợp</t>
  </si>
  <si>
    <t>Sản phẩm nên bán</t>
  </si>
  <si>
    <t>Cách kích hoạt</t>
  </si>
  <si>
    <t>Giáo viên yoga/pilates/gym</t>
  </si>
  <si>
    <t>Có cộng đồng quan tâm sức khỏe</t>
  </si>
  <si>
    <t>Giọt Lành, Ban Mai, ginger shot</t>
  </si>
  <si>
    <t>Tasting sau buổi tập, QR mở thẻ</t>
  </si>
  <si>
    <t>Admin/HR văn phòng</t>
  </si>
  <si>
    <t>Có nhóm đặt bữa sáng</t>
  </si>
  <si>
    <t>Ban Mai, group order</t>
  </si>
  <si>
    <t>Điểm gom đơn buổi sáng</t>
  </si>
  <si>
    <t>Chủ spa/salon</t>
  </si>
  <si>
    <t>Tệp nữ thích chăm sóc bản thân</t>
  </si>
  <si>
    <t>Giọt Lành, Ban Mai</t>
  </si>
  <si>
    <t>Đặt sample/voucher tại quầy</t>
  </si>
  <si>
    <t>KOC lifestyle địa phương</t>
  </si>
  <si>
    <t>Tạo niềm tin gần gũi</t>
  </si>
  <si>
    <t>Review 7 ngày dùng sữa</t>
  </si>
  <si>
    <t>Chủ shop beauty/thời trang</t>
  </si>
  <si>
    <t>Có khách nữ, dễ gắn lifestyle</t>
  </si>
  <si>
    <t>Giọt Lành</t>
  </si>
  <si>
    <t>Quà tặng khách thân thiết</t>
  </si>
  <si>
    <t>Cộng đồng mẹ/bếp sạch</t>
  </si>
  <si>
    <t>Quan tâm nguyên liệu và bữa sáng</t>
  </si>
  <si>
    <t>Ban Mai, sữa hạt</t>
  </si>
  <si>
    <t>Nội dung minh bạch nguyên liệu</t>
  </si>
  <si>
    <t>Sản phẩm</t>
  </si>
  <si>
    <t>Giá bán</t>
  </si>
  <si>
    <t>Giữ dưới 25% giá thẻ nếu có thể</t>
  </si>
  <si>
    <t>Ưu tiên leader có group order</t>
  </si>
  <si>
    <t>Đơn Ban Mai nhóm</t>
  </si>
  <si>
    <t>Nếu Leader gom đơn theo điểm</t>
  </si>
  <si>
    <t>Mốc 20 thẻ/tuần</t>
  </si>
  <si>
    <t>Bonus tùy budget</t>
  </si>
  <si>
    <t>Mốc 50 thẻ/tháng</t>
  </si>
  <si>
    <t>Bonus cho Leader mạnh</t>
  </si>
  <si>
    <t>Mã Leader</t>
  </si>
  <si>
    <t>Tên/Đối tác</t>
  </si>
  <si>
    <t>Nhóm</t>
  </si>
  <si>
    <t>Kênh chính</t>
  </si>
  <si>
    <t>Thẻ Giọt Lành</t>
  </si>
  <si>
    <t>Doanh thu thẻ</t>
  </si>
  <si>
    <t>Hoa hồng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</si>
  <si>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</si>
  <si>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</si>
  <si>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</si>
  <si>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</si>
  <si>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</si>
  <si>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</si>
  <si>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</si>
  <si>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</si>
  <si>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</si>
  <si>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</si>
  <si>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</si>
  <si>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</si>
  <si>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</si>
  <si>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</si>
  <si>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</si>
  <si>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</si>
  <si>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</si>
  <si>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</si>
  <si>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</si>
  <si>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</si>
  <si>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</si>
  <si>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</si>
  <si>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</si>
  <si>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</si>
  <si>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</si>
  <si>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</si>
  <si>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</si>
  <si>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</si>
  <si>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</si>
  <si>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</si>
  <si>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30-DAY MARKETING EXECUTION CANVAS</t>
  </si>
  <si>
    <t>Lịch triển khai nội dung, kênh, owner, trạng thái và KPI cho chiến dịch launch</t>
  </si>
  <si>
    <t>Ngày</t>
  </si>
  <si>
    <t>Trụ cột</t>
  </si>
  <si>
    <t>Nội dung triển khai</t>
  </si>
  <si>
    <t>Owner</t>
  </si>
  <si>
    <t>KPI đích</t>
  </si>
  <si>
    <t>Kết quả</t>
  </si>
  <si>
    <t>Pre-launch</t>
  </si>
  <si>
    <t>Teaser</t>
  </si>
  <si>
    <t>Nếu mỗi sáng có một chai sữa hạt lành chỉ 15K, bạn có muốn duy trì không?</t>
  </si>
  <si>
    <t>Story/Reels/Leader</t>
  </si>
  <si>
    <t>Offer</t>
  </si>
  <si>
    <t>Giới thiệu Thẻ Giọt Lành An Nhiên và quyền lợi hội viên.</t>
  </si>
  <si>
    <t>Fanpage/Zalo/Leader</t>
  </si>
  <si>
    <t>Product</t>
  </si>
  <si>
    <t>Giới thiệu 3 vị signature: Mộc Mè, Lạc Hương, Mộc Đậu.</t>
  </si>
  <si>
    <t>Reels/TikTok</t>
  </si>
  <si>
    <t>Tasting</t>
  </si>
  <si>
    <t>Leader dùng thử và chia sẻ cảm nhận thật.</t>
  </si>
  <si>
    <t>Leader story</t>
  </si>
  <si>
    <t>Founder</t>
  </si>
  <si>
    <t>Mở danh sách Founding Members giới hạn.</t>
  </si>
  <si>
    <t>Form/QR</t>
  </si>
  <si>
    <t>Launch</t>
  </si>
  <si>
    <t>Mở bán chính thức Thẻ Giọt Lành An Nhiên.</t>
  </si>
  <si>
    <t>All channels</t>
  </si>
  <si>
    <t>BTS</t>
  </si>
  <si>
    <t>Video chuẩn bị sữa, đóng chai, giao sáng.</t>
  </si>
  <si>
    <t>Feedback</t>
  </si>
  <si>
    <t>Feedback khách/leader sau 1–2 ngày dùng sữa.</t>
  </si>
  <si>
    <t>Story/Fanpage</t>
  </si>
  <si>
    <t>Habit</t>
  </si>
  <si>
    <t>Challenge 7 ngày Giọt Lành.</t>
  </si>
  <si>
    <t>Zalo/Story</t>
  </si>
  <si>
    <t>Menu</t>
  </si>
  <si>
    <t>Menu ngày: vị sữa, trà, topping.</t>
  </si>
  <si>
    <t>Education</t>
  </si>
  <si>
    <t>15K là đặc quyền hội viên, không phải sale rẻ.</t>
  </si>
  <si>
    <t>Post</t>
  </si>
  <si>
    <t>Social Proof</t>
  </si>
  <si>
    <t>Ảnh khách nhận sữa tại văn phòng/studio.</t>
  </si>
  <si>
    <t>Story/Reels</t>
  </si>
  <si>
    <t>Leader</t>
  </si>
  <si>
    <t>Leader top doanh số chia sẻ cách bán.</t>
  </si>
  <si>
    <t>Internal/Zalo</t>
  </si>
  <si>
    <t>Nhắc hạn slot Founding Members.</t>
  </si>
  <si>
    <t>Fanpage/Zalo</t>
  </si>
  <si>
    <t>Menu tuần và gợi ý dùng đều mỗi sáng.</t>
  </si>
  <si>
    <t>Tổng hợp feedback tuần 1.</t>
  </si>
  <si>
    <t>Fanpage</t>
  </si>
  <si>
    <t>Một ngày vận hành 100 chai sữa.</t>
  </si>
  <si>
    <t>Reels</t>
  </si>
  <si>
    <t>Sống lành không cần phức tạp: bắt đầu bằng buổi sáng.</t>
  </si>
  <si>
    <t>Upsell</t>
  </si>
  <si>
    <t>Ban Mai</t>
  </si>
  <si>
    <t>Teaser Thẻ Ban Mai cho khách đã dùng sữa 3–5 lần.</t>
  </si>
  <si>
    <t>CRM/Zalo</t>
  </si>
  <si>
    <t>Video 'Một set Ban Mai gồm gì?'</t>
  </si>
  <si>
    <t>Mở bán Thẻ Ban Mai 249K.</t>
  </si>
  <si>
    <t>CRM/Leader</t>
  </si>
  <si>
    <t>Group Order</t>
  </si>
  <si>
    <t>Kích hoạt điểm gom đơn văn phòng/studio.</t>
  </si>
  <si>
    <t>Leader/HR</t>
  </si>
  <si>
    <t>Menu Ban Mai ngày mai.</t>
  </si>
  <si>
    <t>Feedback bữa sáng Ban Mai đầu tiên.</t>
  </si>
  <si>
    <t>Retention</t>
  </si>
  <si>
    <t>Combo tuần</t>
  </si>
  <si>
    <t>Ra gói 5 ngày Ban Mai hoặc sữa hạt.</t>
  </si>
  <si>
    <t>Referral</t>
  </si>
  <si>
    <t>Giới thiệu bạn mở thẻ nhận voucher/nâng cấp.</t>
  </si>
  <si>
    <t>Công bố bảng leader/đối tác nổi bật.</t>
  </si>
  <si>
    <t>Internal/Fanpage</t>
  </si>
  <si>
    <t>Case văn phòng/studio dùng đều trong tuần.</t>
  </si>
  <si>
    <t>Post/Reels</t>
  </si>
  <si>
    <t>Survey</t>
  </si>
  <si>
    <t>Khảo sát vị yêu thích và khung giờ nhận hàng.</t>
  </si>
  <si>
    <t>Form/Zalo</t>
  </si>
  <si>
    <t>Review</t>
  </si>
  <si>
    <t>Tổng kết</t>
  </si>
  <si>
    <t>Tổng kết 30 ngày: số thẻ, số chai, feedback, next wave.</t>
  </si>
  <si>
    <t>Fanpage/Internal</t>
  </si>
  <si>
    <t>DAILY OPS &amp; REVENUE TRACKER</t>
  </si>
  <si>
    <t>Nhập số vận hành hằng ngày; doanh thu/cost/lợi nhuận gộp tự tính theo biến số ở Offer Pricing. Có thể đổi cột Ngày theo ngày launch thực tế.</t>
  </si>
  <si>
    <t>Thứ</t>
  </si>
  <si>
    <t>Chai Mộc Mè</t>
  </si>
  <si>
    <t>Chai Lạc Hương</t>
  </si>
  <si>
    <t>Chai Mộc Đậu</t>
  </si>
  <si>
    <t>Tổng chai</t>
  </si>
  <si>
    <t>DT thẻ</t>
  </si>
  <si>
    <t>DT sữa</t>
  </si>
  <si>
    <t>DT Ban Mai</t>
  </si>
  <si>
    <t>Tổng DT</t>
  </si>
  <si>
    <t>Cost sữa</t>
  </si>
  <si>
    <t>Cost Ban Mai</t>
  </si>
  <si>
    <t>HH Leader</t>
  </si>
  <si>
    <t>LN gộp ước tính</t>
  </si>
  <si>
    <t>Hàng dư/hủy</t>
  </si>
  <si>
    <t>Đúng giờ %</t>
  </si>
  <si>
    <t>Khiếu nại</t>
  </si>
  <si>
    <t>Thứ 2</t>
  </si>
  <si>
    <t>Thứ 3</t>
  </si>
  <si>
    <t>Thứ 4</t>
  </si>
  <si>
    <t>Thứ 5</t>
  </si>
  <si>
    <t>Thứ 6</t>
  </si>
  <si>
    <t>Thứ 7</t>
  </si>
  <si>
    <t>CN</t>
  </si>
  <si>
    <t>KPI DASHBOARD – MEMBERSHIP PILOT 30 NGÀY</t>
  </si>
  <si>
    <t>Dashboard tự tính từ Ops Tracker và Offer Pricing để team theo dõi mỗi ngày</t>
  </si>
  <si>
    <t>Tổng chai sữa</t>
  </si>
  <si>
    <t>Đúng giờ TB</t>
  </si>
  <si>
    <t>KPI</t>
  </si>
  <si>
    <t>Target</t>
  </si>
  <si>
    <t>Actual</t>
  </si>
  <si>
    <t>% đạt</t>
  </si>
  <si>
    <t>Mục tiêu pilot</t>
  </si>
  <si>
    <t>Tổng doanh thu pilot</t>
  </si>
  <si>
    <t>Tính cả thẻ + sữa + Ban Mai</t>
  </si>
  <si>
    <t>Đo adoption và thói quen</t>
  </si>
  <si>
    <t>Đo upsell/AOV</t>
  </si>
  <si>
    <t>Giao đúng giờ TB</t>
  </si>
  <si>
    <t>Vận hành sáng</t>
  </si>
  <si>
    <t>Ngưỡng gợi ý: &lt;7% tổng sản lượng; chỉnh theo thực tế</t>
  </si>
  <si>
    <t>Ngưỡng gợi ý: &lt;3% tổng sản lượng; chỉnh theo thực tế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</si>
  <si>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</si>
  <si>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</si>
  <si>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</si>
  <si>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</si>
  <si>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</si>
  <si>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</si>
  <si>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</si>
  <si>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</si>
  <si>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</si>
  <si>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</si>
  <si>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</si>
  <si>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</si>
  <si>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</si>
  <si>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</si>
  <si>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</si>
  <si>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</si>
  <si>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</si>
  <si>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</si>
  <si>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</si>
  <si>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</si>
  <si>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</si>
  <si>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</si>
  <si>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</si>
  <si>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</si>
  <si>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</si>
  <si>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</si>
  <si>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</si>
  <si>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</si>
  <si>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</si>
  <si>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</si>
  <si>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CRM &amp; CUSTOMER JOURNEY CANVAS</t>
  </si>
  <si>
    <t>Kịch bản chăm sóc hội viên từ mua thẻ đến active, upsell và referral</t>
  </si>
  <si>
    <t>Khách nghĩ gì?</t>
  </si>
  <si>
    <t>Brand cần làm</t>
  </si>
  <si>
    <t>Công cụ</t>
  </si>
  <si>
    <t>Trigger</t>
  </si>
  <si>
    <t>Thông điệp mẫu</t>
  </si>
  <si>
    <t>Mua thẻ</t>
  </si>
  <si>
    <t>Mua xong dùng thế nào?</t>
  </si>
  <si>
    <t>Gửi welcome + hướng dẫn dùng thẻ</t>
  </si>
  <si>
    <t>Zalo/SMS/QR</t>
  </si>
  <si>
    <t>Ngay sau thanh toán</t>
  </si>
  <si>
    <t>CRM</t>
  </si>
  <si>
    <t>Chào mừng bạn đến với Giọt Lành An Nhiên...</t>
  </si>
  <si>
    <t>Gắn SĐT/QR</t>
  </si>
  <si>
    <t>Chưa dùng sau 24h</t>
  </si>
  <si>
    <t>Mai có vị gì?</t>
  </si>
  <si>
    <t>Nhắc menu ngày mai</t>
  </si>
  <si>
    <t>24h chưa giao dịch</t>
  </si>
  <si>
    <t>Ngày mai có Mộc Mè, Lạc Hương, Mộc Đậu...</t>
  </si>
  <si>
    <t>Nhắc nhẹ, không spam</t>
  </si>
  <si>
    <t>Dùng lần đầu</t>
  </si>
  <si>
    <t>Vị có ngon không?</t>
  </si>
  <si>
    <t>Cảm ơn + hỏi feedback</t>
  </si>
  <si>
    <t>Zalo</t>
  </si>
  <si>
    <t>Sau giao dịch đầu tiên</t>
  </si>
  <si>
    <t>CSKH</t>
  </si>
  <si>
    <t>Bạn thấy vị hôm nay thế nào ạ?</t>
  </si>
  <si>
    <t>Dùng 3 lần</t>
  </si>
  <si>
    <t>Có bữa sáng tiện không?</t>
  </si>
  <si>
    <t>Gợi ý Thẻ Ban Mai</t>
  </si>
  <si>
    <t>Zalo/Leader</t>
  </si>
  <si>
    <t>Sau 3 lần mua sữa</t>
  </si>
  <si>
    <t>Sales</t>
  </si>
  <si>
    <t>Bạn đã có thói quen sữa hạt rồi, thử Ban Mai nhé...</t>
  </si>
  <si>
    <t>Upsell đúng thời điểm</t>
  </si>
  <si>
    <t>Active 7 ngày</t>
  </si>
  <si>
    <t>Mình theo được rồi</t>
  </si>
  <si>
    <t>Mời challenge 21 ngày</t>
  </si>
  <si>
    <t>Zalo/Community</t>
  </si>
  <si>
    <t>Sau 7 ngày active</t>
  </si>
  <si>
    <t>Cùng brand giữ 21 ngày Giọt Lành nhé...</t>
  </si>
  <si>
    <t>Tạo gắn bó</t>
  </si>
  <si>
    <t>Không dùng 14 ngày</t>
  </si>
  <si>
    <t>Bận/quên/thấy không cần</t>
  </si>
  <si>
    <t>Gửi menu mới hoặc voucher nhỏ</t>
  </si>
  <si>
    <t>14 ngày không mua</t>
  </si>
  <si>
    <t>Tụi mình có menu mới tuần này...</t>
  </si>
  <si>
    <t>Không giảm quá sâu</t>
  </si>
  <si>
    <t>Giới thiệu bạn</t>
  </si>
  <si>
    <t>Bạn mình cũng thích</t>
  </si>
  <si>
    <t>Kích hoạt referral</t>
  </si>
  <si>
    <t>Mã giới thiệu</t>
  </si>
  <si>
    <t>Sau 5+ lần mua</t>
  </si>
  <si>
    <t>Marketing</t>
  </si>
  <si>
    <t>Mời bạn mở thẻ, cả hai nhận ưu đãi...</t>
  </si>
  <si>
    <t>Tặng trải nghiệm nâng cấp</t>
  </si>
  <si>
    <t>RISK, RULES &amp; BRAND GUARDRAILS</t>
  </si>
  <si>
    <t>Những rủi ro và nguyên tắc không được phá vỡ khi cả brand vận hành chiến dịch</t>
  </si>
  <si>
    <t>Rủi ro</t>
  </si>
  <si>
    <t>Mức độ</t>
  </si>
  <si>
    <t>Tác động</t>
  </si>
  <si>
    <t>Cách khóa</t>
  </si>
  <si>
    <t>Deadline</t>
  </si>
  <si>
    <t>Chỉ báo sớm</t>
  </si>
  <si>
    <t>Phản ứng nhanh</t>
  </si>
  <si>
    <t>Khách hiểu nhầm 'trọn đời'</t>
  </si>
  <si>
    <t>Cao</t>
  </si>
  <si>
    <t>Kỳ vọng pháp lý/vận hành vượt khả năng</t>
  </si>
  <si>
    <t>Dùng 'đặc quyền dài hạn' và điều khoản điều chỉnh</t>
  </si>
  <si>
    <t>Brand/CSKH</t>
  </si>
  <si>
    <t>Khách hỏi thời hạn liên tục</t>
  </si>
  <si>
    <t>Gửi FAQ thống nhất</t>
  </si>
  <si>
    <t>Brand bị nhìn là rẻ</t>
  </si>
  <si>
    <t>Mất định vị premium/wellness</t>
  </si>
  <si>
    <t>Không nói rẻ nhất; dùng ngôn ngữ đặc quyền</t>
  </si>
  <si>
    <t>Comment so sánh giá rẻ</t>
  </si>
  <si>
    <t>Đổi thông điệp/caption</t>
  </si>
  <si>
    <t>Cost Ban Mai bị vỡ</t>
  </si>
  <si>
    <t>Lỗ hoặc biên quá mỏng</t>
  </si>
  <si>
    <t>Set chính 1 chai trà; mua thêm bằng ưu đãi riêng</t>
  </si>
  <si>
    <t>Ops/Finance</t>
  </si>
  <si>
    <t>Cost/set &gt;40K</t>
  </si>
  <si>
    <t>Cắt bớt biến động topping</t>
  </si>
  <si>
    <t>Leader nói quá công dụng</t>
  </si>
  <si>
    <t>Rủi ro niềm tin và claim sai</t>
  </si>
  <si>
    <t>Script chuẩn; cấm claim giảm cân/chữa bệnh/thải độc thần kỳ</t>
  </si>
  <si>
    <t>Caption claim quá đà</t>
  </si>
  <si>
    <t>Nhắc/khóa mã leader nếu tái phạm</t>
  </si>
  <si>
    <t>Khách dùng chung thẻ</t>
  </si>
  <si>
    <t>Trung bình</t>
  </si>
  <si>
    <t>Thất thoát doanh thu</t>
  </si>
  <si>
    <t>Gắn SĐT/QR; giới hạn 3 chai/ngày</t>
  </si>
  <si>
    <t>Ops/CRM</t>
  </si>
  <si>
    <t>Một SĐT mua bất thường</t>
  </si>
  <si>
    <t>Check lại quy trình</t>
  </si>
  <si>
    <t>Hàng dư/hủy cao</t>
  </si>
  <si>
    <t>Đội cost và lãng phí</t>
  </si>
  <si>
    <t>Forecast theo active rate; Ban Mai pre-order</t>
  </si>
  <si>
    <t>Ops</t>
  </si>
  <si>
    <t>Hủy/dư &gt;10%</t>
  </si>
  <si>
    <t>Giảm sản xuất ngày sau</t>
  </si>
  <si>
    <t>Dị ứng lạc/mè/đậu nành</t>
  </si>
  <si>
    <t>Rủi ro an toàn và niềm tin</t>
  </si>
  <si>
    <t>Ghi rõ thành phần chính trên tem/menu/FAQ</t>
  </si>
  <si>
    <t>Ops/Brand</t>
  </si>
  <si>
    <t>Khách hỏi thành phần</t>
  </si>
  <si>
    <t>Cập nhật nhãn ngay</t>
  </si>
  <si>
    <t>Giao hàng sáng trễ</t>
  </si>
  <si>
    <t>Mất niềm tin, giảm repeat</t>
  </si>
  <si>
    <t>Chỉ nhận vùng/điểm gom đủ năng lực; đo đúng giờ</t>
  </si>
  <si>
    <t>Đúng giờ &lt;90%</t>
  </si>
  <si>
    <t>Giảm tuyến/điểm giao</t>
  </si>
  <si>
    <t>Khách mua thẻ nhưng không dùng</t>
  </si>
  <si>
    <t>Membership chết, khó upsell</t>
  </si>
  <si>
    <t>Welcome flow, nhắc menu, challenge 7 ngày</t>
  </si>
  <si>
    <t>Active 7D &lt;60%</t>
  </si>
  <si>
    <t>Gửi kích hoạt lại</t>
  </si>
  <si>
    <t>BRAND GUARDRAILS – Không được phá vỡ</t>
  </si>
  <si>
    <t>1. Không gọi chương trình là 'rẻ nhất' hoặc 'sale xả'.</t>
  </si>
  <si>
    <t>2. Không claim chữa bệnh, giảm cân, detox thần kỳ.</t>
  </si>
  <si>
    <t>3. Không giấu thành phần mè, lạc, đậu nành trên tem/FAQ.</t>
  </si>
  <si>
    <t>4. Không để set Ban Mai tiêu chuẩn có 1–3 chai trà; mặc định 1 chai trà.</t>
  </si>
  <si>
    <t>5. Không mở rộng điểm giao nếu tỷ lệ đúng giờ dưới 90%.</t>
  </si>
  <si>
    <t>6. Không trả hoa hồng nhiều tầng; chỉ trả theo doanh số thật.</t>
  </si>
  <si>
    <t>LISTS &amp; VALIDATION</t>
  </si>
  <si>
    <t>Danh mục dùng cho dropdown trong các sheet tracker</t>
  </si>
  <si>
    <t>Status chung</t>
  </si>
  <si>
    <t>Leader Group</t>
  </si>
  <si>
    <t>Marketing Status</t>
  </si>
  <si>
    <t>Risk Level</t>
  </si>
  <si>
    <t>Milk Flavor</t>
  </si>
  <si>
    <t>Yoga/Pilates/Gym</t>
  </si>
  <si>
    <t>Đang làm</t>
  </si>
  <si>
    <t>Văn phòng/HR</t>
  </si>
  <si>
    <t>Xong</t>
  </si>
  <si>
    <t>Spa/Salon</t>
  </si>
  <si>
    <t>Đã lên lịch</t>
  </si>
  <si>
    <t>Thấp</t>
  </si>
  <si>
    <t>Blocked</t>
  </si>
  <si>
    <t>KOC</t>
  </si>
  <si>
    <t>Đã đăng</t>
  </si>
  <si>
    <t>Đã cài</t>
  </si>
  <si>
    <t>Beauty/Fashion Shop</t>
  </si>
  <si>
    <t>Finance</t>
  </si>
  <si>
    <t>Tạm dừng</t>
  </si>
  <si>
    <t>Mẹ/Bếp sạch</t>
  </si>
  <si>
    <t>Brand</t>
  </si>
  <si>
    <t>Theo dõi</t>
  </si>
  <si>
    <t>Khác</t>
  </si>
  <si>
    <t>CORE STRATEGY CANVAS – Gieo Giọt Lành / Leader – Affiliate – Đại lý</t>
  </si>
  <si>
    <t>Bản core dùng để cả brand theo dõi: chiến lược cảm xúc, đối tượng, offer, flow tặng quà trước, chính sách level và KPI scale đội nhóm.</t>
  </si>
  <si>
    <t>1. NORTH STAR</t>
  </si>
  <si>
    <t>Tên chương trình</t>
  </si>
  <si>
    <t>Gieo Giọt Lành</t>
  </si>
  <si>
    <t>Tư duy</t>
  </si>
  <si>
    <t>Tặng quà trước – hỏi trải nghiệm – mời lan tỏa – cấp mã – hỗ trợ 3 đơn đầu</t>
  </si>
  <si>
    <t>Sản phẩm mồi</t>
  </si>
  <si>
    <t>199K mở thẻ, sữa hạt 15K/chai, tối đa 3 chai/ngày</t>
  </si>
  <si>
    <t>Sản phẩm upsell</t>
  </si>
  <si>
    <t>249K mở thẻ, set Ban Mai 60K</t>
  </si>
  <si>
    <t>Set quà lõi</t>
  </si>
  <si>
    <t>Mộc Mè – Lạc Hương – Mộc Đậu</t>
  </si>
  <si>
    <t>Cảm xúc cần tạo</t>
  </si>
  <si>
    <t>An toàn – uy tín – có lợi – dễ lan tỏa</t>
  </si>
  <si>
    <t>2. EMOTIONAL JOURNEY CANVAS</t>
  </si>
  <si>
    <t>Tầng cảm xúc</t>
  </si>
  <si>
    <t>Rào cản cảm xúc</t>
  </si>
  <si>
    <t>Hành động của brand</t>
  </si>
  <si>
    <t>Nội dung truyền thông</t>
  </si>
  <si>
    <t>Chính sách/Quyền lợi</t>
  </si>
  <si>
    <t>KPI chuyển tầng</t>
  </si>
  <si>
    <t>Người phụ trách</t>
  </si>
  <si>
    <t>Được tặng</t>
  </si>
  <si>
    <t>Xa lạ, chưa an toàn</t>
  </si>
  <si>
    <t>Tặng đúng set, đúng tệp, đúng ngữ cảnh</t>
  </si>
  <si>
    <t>Card/ảnh/video: brand là ai, set quà là gì</t>
  </si>
  <si>
    <t>Không ép mua, quà trải nghiệm</t>
  </si>
  <si>
    <t>Tỷ lệ nhận quà</t>
  </si>
  <si>
    <t>Sales/Leader</t>
  </si>
  <si>
    <t>Gift-led activation</t>
  </si>
  <si>
    <t>Trải nghiệm</t>
  </si>
  <si>
    <t>Sợ sản phẩm không ngon/không uy tín</t>
  </si>
  <si>
    <t>Follow-up sau 24–48h, hỏi vị hợp gu</t>
  </si>
  <si>
    <t>Video BTS, feedback 3 vị</t>
  </si>
  <si>
    <t>Form feedback, voucher nhỏ</t>
  </si>
  <si>
    <t>Tỷ lệ phản hồi</t>
  </si>
  <si>
    <t>Không hỏi quá chung chung</t>
  </si>
  <si>
    <t>Được mời lan tỏa</t>
  </si>
  <si>
    <t>Sợ bị biến thành người bán</t>
  </si>
  <si>
    <t>Hỏi: chị nghĩ sao nếu lan tỏa set này tới người chị thương?</t>
  </si>
  <si>
    <t>Câu chuyện món quà sáng lành</t>
  </si>
  <si>
    <t>Mã quà lan tỏa, quyền lợi mềm</t>
  </si>
  <si>
    <t>Tỷ lệ nhận mã</t>
  </si>
  <si>
    <t>Sales/Leader Manager</t>
  </si>
  <si>
    <t>Dùng từ lan tỏa thay cho bán hàng</t>
  </si>
  <si>
    <t>Có mã riêng</t>
  </si>
  <si>
    <t>Sợ không có lợi ích/không minh bạch</t>
  </si>
  <si>
    <t>Cấp mã, tracking, policy ngắn</t>
  </si>
  <si>
    <t>Ảnh 1 trang chính sách</t>
  </si>
  <si>
    <t>HH theo thẻ/set, payout tuần</t>
  </si>
  <si>
    <t>Số mã active</t>
  </si>
  <si>
    <t>CRM/Finance</t>
  </si>
  <si>
    <t>Không cần ôm hàng</t>
  </si>
  <si>
    <t>Có đơn đầu tiên</t>
  </si>
  <si>
    <t>Sợ bán khó</t>
  </si>
  <si>
    <t>Hỗ trợ 3 đơn đầu bằng script + sample</t>
  </si>
  <si>
    <t>Story template, inbox script, FAQ</t>
  </si>
  <si>
    <t>Bonus 3 đơn đầu</t>
  </si>
  <si>
    <t>Tỷ lệ có đơn đầu</t>
  </si>
  <si>
    <t>Leader Manager</t>
  </si>
  <si>
    <t>Mục tiêu nhỏ trước</t>
  </si>
  <si>
    <t>Leader active</t>
  </si>
  <si>
    <t>Sợ không duy trì được</t>
  </si>
  <si>
    <t>Training, dashboard, vinh danh</t>
  </si>
  <si>
    <t>Leaderboard, case study</t>
  </si>
  <si>
    <t>Level, bonus mốc, quyền lợi</t>
  </si>
  <si>
    <t>Active rate 30 ngày</t>
  </si>
  <si>
    <t>Scale bằng pod/captain</t>
  </si>
  <si>
    <t>3. SCALE MODEL</t>
  </si>
  <si>
    <t>Tệp</t>
  </si>
  <si>
    <t>Cách tiếp cận</t>
  </si>
  <si>
    <t>Set quà phù hợp</t>
  </si>
  <si>
    <t>Level đầu vào</t>
  </si>
  <si>
    <t>KPI mở đầu</t>
  </si>
  <si>
    <t>Cách scale</t>
  </si>
  <si>
    <t>Rủi ro cần kiểm soát</t>
  </si>
  <si>
    <t>Người nhận quà</t>
  </si>
  <si>
    <t>Tặng quà / mối quan hệ</t>
  </si>
  <si>
    <t>Bộ Giọt Lành An Nhiên</t>
  </si>
  <si>
    <t>Người Gieo Giọt Lành</t>
  </si>
  <si>
    <t>3 lời giới thiệu</t>
  </si>
  <si>
    <t>Cấp 5 mã quà lan tỏa</t>
  </si>
  <si>
    <t>Không ép thành CTV quá sớm</t>
  </si>
  <si>
    <t>Affiliate/CTV</t>
  </si>
  <si>
    <t>Dùng thử + chính sách ngắn</t>
  </si>
  <si>
    <t>Bộ Giọt Lành/Set Ban Mai</t>
  </si>
  <si>
    <t>Affiliate cơ bản</t>
  </si>
  <si>
    <t>3 đơn đầu</t>
  </si>
  <si>
    <t>Content kit + script + payout tuần</t>
  </si>
  <si>
    <t>Không để họ tự nghĩ content</t>
  </si>
  <si>
    <t>Tasting + training</t>
  </si>
  <si>
    <t>Đại sứ/Leader An Nhiên</t>
  </si>
  <si>
    <t>10–20 thẻ/tháng</t>
  </si>
  <si>
    <t>Pod 5–10 leader</t>
  </si>
  <si>
    <t>Overpromise công dụng/giá</t>
  </si>
  <si>
    <t>Đại lý/Điểm gom</t>
  </si>
  <si>
    <t>Sự kiện/office tasting</t>
  </si>
  <si>
    <t>Đối tác thử nghiệm/Điểm gom</t>
  </si>
  <si>
    <t>50–100 set/tháng</t>
  </si>
  <si>
    <t>Điểm gom theo khu vực</t>
  </si>
  <si>
    <t>Vỡ cost/giao trễ</t>
  </si>
  <si>
    <t>Captain</t>
  </si>
  <si>
    <t>Nâng cấp từ leader mạnh</t>
  </si>
  <si>
    <t>Tùy tệp</t>
  </si>
  <si>
    <t>Captain Giọt Lành</t>
  </si>
  <si>
    <t>Quản 5–10 leader</t>
  </si>
  <si>
    <t>Mở pod mới</t>
  </si>
  <si>
    <t>Thưởng tuyển người không có đơn thật</t>
  </si>
  <si>
    <t>4. 30-60-90 DAY ROADMAP</t>
  </si>
  <si>
    <t>Việc cần làm</t>
  </si>
  <si>
    <t>Điều kiện để scale</t>
  </si>
  <si>
    <t>0–30 ngày</t>
  </si>
  <si>
    <t>Chứng minh mô hình gift-led hoạt động</t>
  </si>
  <si>
    <t>Tặng 100 set chọn lọc, tổ chức 1–2 tasting, cấp mã cho nhóm phản hồi tích cực</t>
  </si>
  <si>
    <t>5–10 leader có đơn đầu</t>
  </si>
  <si>
    <t>Tỷ lệ phản hồi ≥50%, lỗi vận hành thấp</t>
  </si>
  <si>
    <t>31–60 ngày</t>
  </si>
  <si>
    <t>Scale leader/đối tác active</t>
  </si>
  <si>
    <t>Mở 3–5 điểm gom, training hằng tuần, leaderboard, payout đều</t>
  </si>
  <si>
    <t>20–30 leader active, 300–500 thẻ</t>
  </si>
  <si>
    <t>Active rate khách ≥35%, giao đúng giờ &gt;90%</t>
  </si>
  <si>
    <t>61–90 ngày</t>
  </si>
  <si>
    <t>Nhân bản theo pod/captain</t>
  </si>
  <si>
    <t>Nâng leader mạnh lên Captain, mở pod theo khu vực/cộng đồng</t>
  </si>
  <si>
    <t>5 Captain, 50 leader, 1.000+ hội viên</t>
  </si>
  <si>
    <t>Hệ thống CRM/payout đủ chắc</t>
  </si>
  <si>
    <t>DANH SÁCH ĐỐI TÁC LIÊN KẾT – Partner / Đại lý / Điểm gom</t>
  </si>
  <si>
    <t>Nhập thông tin đối tác từ cột A:R và U:Z/AG:AI. Các cột S:T, AA:AF tự tính điểm, level, doanh thu, hoa hồng, thưởng và tiến độ.</t>
  </si>
  <si>
    <t>Partner ID</t>
  </si>
  <si>
    <t>Ngày liên hệ</t>
  </si>
  <si>
    <t>Tên đối tác</t>
  </si>
  <si>
    <t>Loại đối tác</t>
  </si>
  <si>
    <t>Người liên hệ</t>
  </si>
  <si>
    <t>SĐT/Zalo</t>
  </si>
  <si>
    <t>Khu vực</t>
  </si>
  <si>
    <t>Nguồn liên hệ</t>
  </si>
  <si>
    <t>Tệp khách chính</t>
  </si>
  <si>
    <t>Hình thức tiếp cận</t>
  </si>
  <si>
    <t>Set quà/Sự kiện</t>
  </si>
  <si>
    <t>Ngày gửi quà/sự kiện</t>
  </si>
  <si>
    <t>Feedback/cảm nhận</t>
  </si>
  <si>
    <t>Trạng thái cảm xúc</t>
  </si>
  <si>
    <t>Level hiện tại</t>
  </si>
  <si>
    <t>Điểm tiềm năng</t>
  </si>
  <si>
    <t>Điểm fit/uy tín</t>
  </si>
  <si>
    <t>Điểm bán/group order</t>
  </si>
  <si>
    <t>Tổng điểm</t>
  </si>
  <si>
    <t>Level gợi ý</t>
  </si>
  <si>
    <t>Target thẻ GL</t>
  </si>
  <si>
    <t>Target thẻ BM</t>
  </si>
  <si>
    <t>Target set BM</t>
  </si>
  <si>
    <t>Thẻ GL bán</t>
  </si>
  <si>
    <t>Thẻ BM bán</t>
  </si>
  <si>
    <t>Set BM bán</t>
  </si>
  <si>
    <t>Doanh thu ghi nhận</t>
  </si>
  <si>
    <t>Hoa hồng tạm tính</t>
  </si>
  <si>
    <t>Bonus tạm tính</t>
  </si>
  <si>
    <t>Tổng payout</t>
  </si>
  <si>
    <t>Tiến độ thẻ</t>
  </si>
  <si>
    <t>Tiến độ set</t>
  </si>
  <si>
    <t>Follow-up kế tiếp</t>
  </si>
  <si>
    <t>P001</t>
  </si>
  <si>
    <t>Lotus Yoga Studio</t>
  </si>
  <si>
    <t>Chị An</t>
  </si>
  <si>
    <t>090xxx001</t>
  </si>
  <si>
    <t>Q.1</t>
  </si>
  <si>
    <t>Mối quan hệ</t>
  </si>
  <si>
    <t>Wellness/Yoga</t>
  </si>
  <si>
    <t>Sự kiện</t>
  </si>
  <si>
    <t>Ấn tượng với Set Ban Mai</t>
  </si>
  <si>
    <t>Đã thử</t>
  </si>
  <si>
    <t>Đối tác thử nghiệm</t>
  </si>
  <si>
    <t>Hẹn tasting tại studio</t>
  </si>
  <si>
    <t>P002</t>
  </si>
  <si>
    <t>HR ABC Office</t>
  </si>
  <si>
    <t>Anh Minh</t>
  </si>
  <si>
    <t>090xxx002</t>
  </si>
  <si>
    <t>Q.3</t>
  </si>
  <si>
    <t>Referral từ nội bộ</t>
  </si>
  <si>
    <t>Tặng quà trực tiếp</t>
  </si>
  <si>
    <t>Đội nhóm muốn thử bữa sáng</t>
  </si>
  <si>
    <t>Quan tâm</t>
  </si>
  <si>
    <t>Điểm gom</t>
  </si>
  <si>
    <t>Có thể mở điểm gom sáng</t>
  </si>
  <si>
    <t>P003</t>
  </si>
  <si>
    <t>Bloom Spa</t>
  </si>
  <si>
    <t>Chị Ly</t>
  </si>
  <si>
    <t>090xxx003</t>
  </si>
  <si>
    <t>Q.7</t>
  </si>
  <si>
    <t>Cold outreach</t>
  </si>
  <si>
    <t>Spa/Beauty</t>
  </si>
  <si>
    <t>Gửi quà</t>
  </si>
  <si>
    <t>Sample 3 vị</t>
  </si>
  <si>
    <t>Chưa phản hồi</t>
  </si>
  <si>
    <t>Đã nhận quà</t>
  </si>
  <si>
    <t>Follow-up sau 48h</t>
  </si>
  <si>
    <t>DANH SÁCH CTV PHÁT TRIỂN SẢN PHẨM / AFFILIATE / NGƯỜI GIỚI THIỆU</t>
  </si>
  <si>
    <t>Theo dõi CTV từ nhận quà → feedback → nhận mã → bán/gom đơn. Cột P:Q và X:AE tự tính level gợi ý, doanh thu, hoa hồng, bonus, tỷ lệ chuyển đổi và tiến độ KPI.</t>
  </si>
  <si>
    <t>CTV ID</t>
  </si>
  <si>
    <t>Ngày onboard</t>
  </si>
  <si>
    <t>Họ tên</t>
  </si>
  <si>
    <t>Nhóm CTV</t>
  </si>
  <si>
    <t>Kênh/Tệp</t>
  </si>
  <si>
    <t>Nguồn</t>
  </si>
  <si>
    <t>Set quà đã nhận</t>
  </si>
  <si>
    <t>Feedback chính</t>
  </si>
  <si>
    <t>Điểm fit</t>
  </si>
  <si>
    <t>Điểm tương tác</t>
  </si>
  <si>
    <t>Điểm network</t>
  </si>
  <si>
    <t>Người được tặng quà</t>
  </si>
  <si>
    <t>Số phản hồi</t>
  </si>
  <si>
    <t>Lead giới thiệu</t>
  </si>
  <si>
    <t>Tỷ lệ lead→thẻ</t>
  </si>
  <si>
    <t>KPI đơn/tháng</t>
  </si>
  <si>
    <t>Tiến độ KPI</t>
  </si>
  <si>
    <t>Payout status</t>
  </si>
  <si>
    <t>C001</t>
  </si>
  <si>
    <t>Nguyễn Hà</t>
  </si>
  <si>
    <t>Đại sứ Ban Mai</t>
  </si>
  <si>
    <t>Lifestyle local</t>
  </si>
  <si>
    <t>091xxx001</t>
  </si>
  <si>
    <t>Thích Lạc Hương</t>
  </si>
  <si>
    <t>Đã cấp mã</t>
  </si>
  <si>
    <t>Chưa thanh toán</t>
  </si>
  <si>
    <t>Tệp nữ văn phòng tốt</t>
  </si>
  <si>
    <t>C002</t>
  </si>
  <si>
    <t>Trần Mai</t>
  </si>
  <si>
    <t>Người giới thiệu</t>
  </si>
  <si>
    <t>Khách thân</t>
  </si>
  <si>
    <t>091xxx002</t>
  </si>
  <si>
    <t>Khách cũ</t>
  </si>
  <si>
    <t>Thích concept quà sáng</t>
  </si>
  <si>
    <t>Bắt đầu bằng 5 mã quà</t>
  </si>
  <si>
    <t>C003</t>
  </si>
  <si>
    <t>Lê An</t>
  </si>
  <si>
    <t>CTV test sản phẩm</t>
  </si>
  <si>
    <t>Yoga</t>
  </si>
  <si>
    <t>091xxx003</t>
  </si>
  <si>
    <t>Feedback về độ ngọt</t>
  </si>
  <si>
    <t>Không đủ điều kiện</t>
  </si>
  <si>
    <t>Chưa cấp mã bán</t>
  </si>
  <si>
    <t>GIFT / EVENT PIPELINE – Theo dõi tặng quà, sự kiện, tasting và chuyển đổi thành leader/đối tác</t>
  </si>
  <si>
    <t>Dùng để đo hiệu quả mô hình tặng quà trước: số set tặng, cost, phản hồi, mã được cấp, doanh thu, ROI và conversion.</t>
  </si>
  <si>
    <t>Campaign ID</t>
  </si>
  <si>
    <t>Tên hoạt động</t>
  </si>
  <si>
    <t>Loại hoạt động</t>
  </si>
  <si>
    <t>Đối tượng mục tiêu</t>
  </si>
  <si>
    <t>Set quà</t>
  </si>
  <si>
    <t>Số lượng quà</t>
  </si>
  <si>
    <t>Chi phí/set</t>
  </si>
  <si>
    <t>Tổng cost quà</t>
  </si>
  <si>
    <t>Phụ trách</t>
  </si>
  <si>
    <t>Đối tác/CTV liên quan</t>
  </si>
  <si>
    <t>Phản hồi tích cực</t>
  </si>
  <si>
    <t>Số mã cấp</t>
  </si>
  <si>
    <t>Thẻ GL</t>
  </si>
  <si>
    <t>Thẻ BM</t>
  </si>
  <si>
    <t>Set BM</t>
  </si>
  <si>
    <t>Hoa hồng/chi phí trả</t>
  </si>
  <si>
    <t>Lãi trước chi phí khác</t>
  </si>
  <si>
    <t>Tỷ lệ cấp mã</t>
  </si>
  <si>
    <t>ROI gift/event</t>
  </si>
  <si>
    <t>G001</t>
  </si>
  <si>
    <t>Tasting Lotus Yoga</t>
  </si>
  <si>
    <t>Sự kiện tasting</t>
  </si>
  <si>
    <t>Đang chạy</t>
  </si>
  <si>
    <t>Pilot event đầu tiên</t>
  </si>
  <si>
    <t>G002</t>
  </si>
  <si>
    <t>Gift HR ABC</t>
  </si>
  <si>
    <t>Tệp văn phòng tốt</t>
  </si>
  <si>
    <t>G003</t>
  </si>
  <si>
    <t>Sample Bloom Spa</t>
  </si>
  <si>
    <t>Gửi quà cá nhân</t>
  </si>
  <si>
    <t>Cần follow-up</t>
  </si>
  <si>
    <t>POLICY MATRIX – Chính sách level, quyền lợi, thưởng và cơ chế tính</t>
  </si>
  <si>
    <t>Dùng sheet này làm bảng chuẩn để Partner/CTV lookup hoa hồng. Các cột D:F là số tiền dùng cho công thức. Thay đổi tại đây thì dashboard tự cập nhật.</t>
  </si>
  <si>
    <t>Level</t>
  </si>
  <si>
    <t>Đối tượng áp dụng</t>
  </si>
  <si>
    <t>Điều kiện lên level</t>
  </si>
  <si>
    <t>HH Thẻ Giọt Lành</t>
  </si>
  <si>
    <t>HH Thẻ Ban Mai</t>
  </si>
  <si>
    <t>HH Set Ban Mai</t>
  </si>
  <si>
    <t>Bonus mốc</t>
  </si>
  <si>
    <t>Quyền lợi</t>
  </si>
  <si>
    <t>Payout</t>
  </si>
  <si>
    <t>Ghi chú kiểm soát</t>
  </si>
  <si>
    <t>Partner/CTV mới</t>
  </si>
  <si>
    <t>Có trong danh sách, chưa có tương tác rõ</t>
  </si>
  <si>
    <t>Không</t>
  </si>
  <si>
    <t>Nhận thông tin/case study</t>
  </si>
  <si>
    <t>Phản hồi và xác nhận nhu cầu</t>
  </si>
  <si>
    <t>Không payout</t>
  </si>
  <si>
    <t>Chưa cấp mã nếu không có tương tác</t>
  </si>
  <si>
    <t>Khách/Người nhận quà</t>
  </si>
  <si>
    <t>Giới thiệu 1–3 người hoặc phản hồi tích cực</t>
  </si>
  <si>
    <t>3 giới thiệu: tặng 1 set/ voucher</t>
  </si>
  <si>
    <t>Mã quà lan tỏa, voucher</t>
  </si>
  <si>
    <t>Giới thiệu nhẹ cho người thân/khách quen</t>
  </si>
  <si>
    <t>Theo tuần nếu có đơn</t>
  </si>
  <si>
    <t>Không gọi là CTV để tránh áp lực bán</t>
  </si>
  <si>
    <t>CTV mới</t>
  </si>
  <si>
    <t>Có tối thiểu 3 đơn/tháng hoặc có tệp rõ</t>
  </si>
  <si>
    <t>10 thẻ: +100K</t>
  </si>
  <si>
    <t>Mã riêng, content mẫu, script inbox</t>
  </si>
  <si>
    <t>Đăng story/inbox theo mẫu</t>
  </si>
  <si>
    <t>Theo tuần</t>
  </si>
  <si>
    <t>Affiliate/CTV active</t>
  </si>
  <si>
    <t>5–15 thẻ/tháng hoặc có group order nhỏ</t>
  </si>
  <si>
    <t>20 thẻ: +300K</t>
  </si>
  <si>
    <t>Content kit, sample ưu tiên, training</t>
  </si>
  <si>
    <t>Bán thẻ và gom đơn nhỏ</t>
  </si>
  <si>
    <t>Ưu tiên tệp văn phòng/wellness</t>
  </si>
  <si>
    <t>Leader An Nhiên</t>
  </si>
  <si>
    <t>Leader chủ lực</t>
  </si>
  <si>
    <t>20–50 thẻ/tháng hoặc set đều hằng tuần</t>
  </si>
  <si>
    <t>50 thẻ: +1M</t>
  </si>
  <si>
    <t>Hoa hồng cao, dashboard riêng, sample</t>
  </si>
  <si>
    <t>Bán đều, báo cáo lead, giữ hình ảnh brand</t>
  </si>
  <si>
    <t>Có thể mở điểm gom thử nghiệm</t>
  </si>
  <si>
    <t>Leader quản nhóm</t>
  </si>
  <si>
    <t>Quản 5–10 leader/điểm gom, có doanh số nhóm thật</t>
  </si>
  <si>
    <t>Bonus nhóm theo doanh số thật</t>
  </si>
  <si>
    <t>Training kit, quyền mở pod, vinh danh</t>
  </si>
  <si>
    <t>Onboard leader mới, coaching nhóm</t>
  </si>
  <si>
    <t>Theo tuần/tháng</t>
  </si>
  <si>
    <t>Không thưởng chỉ vì tuyển người</t>
  </si>
  <si>
    <t>Đối tác/đại lý mới</t>
  </si>
  <si>
    <t>Có địa điểm/tệp khách nhưng chưa có doanh số đều</t>
  </si>
  <si>
    <t>Theo mốc pilot</t>
  </si>
  <si>
    <t>POSM, QR, menu, sample test</t>
  </si>
  <si>
    <t>Trưng bày QR, giới thiệu khách, gom đơn</t>
  </si>
  <si>
    <t>Ưu tiên pre-order, không ôm hàng</t>
  </si>
  <si>
    <t>Văn phòng/studio/spa/shop</t>
  </si>
  <si>
    <t>Có điểm nhận/gom đơn ổn định</t>
  </si>
  <si>
    <t>100 set/tháng: +300K</t>
  </si>
  <si>
    <t>Phí điểm gom, menu riêng, lịch giao</t>
  </si>
  <si>
    <t>Gom đơn đúng giờ, gửi danh sách trước cut-off</t>
  </si>
  <si>
    <t>Không phá giá hệ thống</t>
  </si>
  <si>
    <t>Đại lý</t>
  </si>
  <si>
    <t>Đối tác bán thường xuyên</t>
  </si>
  <si>
    <t>Bán đều 50+ thẻ hoặc 100+ set/tháng</t>
  </si>
  <si>
    <t>Theo doanh số riêng</t>
  </si>
  <si>
    <t>Chính sách đại lý, ưu tiên khu vực</t>
  </si>
  <si>
    <t>Bán/giới thiệu/gom đơn theo quy chuẩn</t>
  </si>
  <si>
    <t>Có thể có thỏa thuận riêng</t>
  </si>
  <si>
    <t>Đối tác chiến lược</t>
  </si>
  <si>
    <t>Corporate/Wellness partner</t>
  </si>
  <si>
    <t>Có hợp tác dài hạn hoặc gói corporate</t>
  </si>
  <si>
    <t>Theo hợp đồng</t>
  </si>
  <si>
    <t>Co-branding, sự kiện riêng, gói doanh nghiệp</t>
  </si>
  <si>
    <t>Triển khai theo kế hoạch tháng/quý</t>
  </si>
  <si>
    <t>Cần duyệt chính sách riêng</t>
  </si>
  <si>
    <t>GROWTH DASHBOARD – Partner / CTV / Gift-led Affiliate</t>
  </si>
  <si>
    <t>Dashboard tự tổng hợp từ 10 Partners, 11 CTV Product và 12 Gift Event. Cột mục tiêu có thể chỉnh để theo dõi tiến độ tháng.</t>
  </si>
  <si>
    <t>Mục tiêu tháng</t>
  </si>
  <si>
    <t>Tiến độ</t>
  </si>
  <si>
    <t>Doanh thu theo nguồn</t>
  </si>
  <si>
    <t>Payout/Cost</t>
  </si>
  <si>
    <t>Đối tác đang active</t>
  </si>
  <si>
    <t>Số đối tác đã qua rào cản cảm xúc và vận hành</t>
  </si>
  <si>
    <t>Partners</t>
  </si>
  <si>
    <t>Doanh thu theo danh sách đối tác</t>
  </si>
  <si>
    <t>CTV/Leader active</t>
  </si>
  <si>
    <t>Người có mã/đã tham gia bán hoặc giới thiệu</t>
  </si>
  <si>
    <t>CTV/Affiliate</t>
  </si>
  <si>
    <t>Doanh thu theo danh sách CTV</t>
  </si>
  <si>
    <t>Thẻ Giọt Lành bán</t>
  </si>
  <si>
    <t>Không tính Gift Event nếu đã nhập trùng ở Partner/CTV</t>
  </si>
  <si>
    <t>Gift/Event pipeline</t>
  </si>
  <si>
    <t>Có thể trùng nếu đã nhập vào Partner/CTV</t>
  </si>
  <si>
    <t>Thẻ Ban Mai bán</t>
  </si>
  <si>
    <t>Theo dõi upsell</t>
  </si>
  <si>
    <t>Set Ban Mai bán</t>
  </si>
  <si>
    <t>Group order + điểm gom</t>
  </si>
  <si>
    <t>Doanh thu Partner/CTV</t>
  </si>
  <si>
    <t>Doanh thu ghi nhận theo mã partner/CTV</t>
  </si>
  <si>
    <t>Top cần follow-up</t>
  </si>
  <si>
    <t>Số lượng</t>
  </si>
  <si>
    <t>Gợi ý hành động</t>
  </si>
  <si>
    <t>Payout tạm tính</t>
  </si>
  <si>
    <t>Hoa hồng + bonus tạm tính</t>
  </si>
  <si>
    <t>Partner đã nhận quà nhưng chưa thử</t>
  </si>
  <si>
    <t>Follow-up trong 24–48h, hỏi vị/set ấn tượng</t>
  </si>
  <si>
    <t>Số set quà/sự kiện đã tặng</t>
  </si>
  <si>
    <t>Tổng quà/activation đã chạy</t>
  </si>
  <si>
    <t>Partner đang quan tâm</t>
  </si>
  <si>
    <t>Gửi chính sách 1 trang + offer sample/event</t>
  </si>
  <si>
    <t>Tỷ lệ phản hồi quà/sự kiện</t>
  </si>
  <si>
    <t>Mục tiêu &gt;=50%</t>
  </si>
  <si>
    <t>CTV đã thử nhưng chưa cấp mã</t>
  </si>
  <si>
    <t>Hỏi ý kiến lan tỏa + gửi 5 mã quà</t>
  </si>
  <si>
    <t>Tỷ lệ cấp mã sau phản hồi</t>
  </si>
  <si>
    <t>Mục tiêu 15–30%+</t>
  </si>
  <si>
    <t>Payout chưa thanh toán</t>
  </si>
  <si>
    <t>Đối soát và payout theo tuần</t>
  </si>
  <si>
    <t>Gift/Event ROI</t>
  </si>
  <si>
    <t>Theo từng campaign, không double-count</t>
  </si>
  <si>
    <t>POLICY SUMMARY – cơ chế tính nhanh</t>
  </si>
  <si>
    <t>Hoa hồng = Thẻ GL bán × HH GL theo level + Thẻ BM bán × HH BM theo level + Set BM bán × HH Set theo level. Bonus tạm tính: 10 thẻ +100K, 20 thẻ +300K, 50 thẻ +1M; 100 set Ban Mai +300K. Có thể chỉnh ở tracker hoặc Policy Matrix.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</si>
</sst>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đ&quot;"/>
    <numFmt numFmtId="165" formatCode="yyyy\-mm\-dd"/>
    <numFmt numFmtId="166" formatCode="dd/mm/yyyy"/>
    <numFmt numFmtId="167" formatCode="#,##0 &quot;₫&quot;"/>
  </numFmts>
  <fonts count="36">
    <font>
      <sz val="11.0"/>
      <color rgb="FF000000"/>
      <name val="Carlito"/>
      <scheme val="minor"/>
    </font>
    <font>
      <b/>
      <sz val="16.0"/>
      <color rgb="FFFFFFFF"/>
      <name val="Arial"/>
    </font>
    <font/>
    <font>
      <sz val="10.0"/>
      <color rgb="FF111827"/>
      <name val="Arial"/>
    </font>
    <font>
      <color theme="1"/>
      <name val="Carlito"/>
      <scheme val="minor"/>
    </font>
    <font>
      <i/>
      <sz val="10.0"/>
      <color rgb="FF374151"/>
      <name val="Arial"/>
    </font>
    <font>
      <b/>
      <sz val="11.0"/>
      <color rgb="FFFFFFFF"/>
      <name val="Arial"/>
    </font>
    <font>
      <b/>
      <sz val="12.0"/>
      <color rgb="FF111827"/>
      <name val="Arial"/>
    </font>
    <font>
      <b/>
      <sz val="12.0"/>
      <color rgb="FFFFFFFF"/>
      <name val="Be Vietnam Pro"/>
    </font>
    <font>
      <sz val="12.0"/>
      <color rgb="FF111827"/>
      <name val="Be Vietnam Pro"/>
    </font>
    <font>
      <sz val="12.0"/>
      <color theme="1"/>
      <name val="Be Vietnam Pro"/>
    </font>
    <font>
      <i/>
      <sz val="12.0"/>
      <color rgb="FF374151"/>
      <name val="Be Vietnam Pro"/>
    </font>
    <font>
      <b/>
      <sz val="12.0"/>
      <color rgb="FF111827"/>
      <name val="Be Vietnam Pro"/>
    </font>
    <font>
      <b/>
      <sz val="12.0"/>
      <color rgb="FF704023"/>
      <name val="Be Vietnam Pro"/>
    </font>
    <font>
      <b/>
      <sz val="13.0"/>
      <color rgb="FFFFFFFF"/>
      <name val="Be Vietnam Pro"/>
    </font>
    <font>
      <i/>
      <sz val="13.0"/>
      <color rgb="FF374151"/>
      <name val="Be Vietnam Pro"/>
    </font>
    <font>
      <sz val="13.0"/>
      <color rgb="FF111827"/>
      <name val="Be Vietnam Pro"/>
    </font>
    <font>
      <sz val="10.0"/>
      <color rgb="FFFFFFFF"/>
      <name val="Arial"/>
    </font>
    <font>
      <color rgb="FFFFFFFF"/>
      <name val="Carlito"/>
      <scheme val="minor"/>
    </font>
    <font>
      <b/>
      <sz val="16.0"/>
      <color rgb="FFFFFFFF"/>
      <name val="Be Vietnam Pro"/>
    </font>
    <font>
      <i/>
      <sz val="10.0"/>
      <color rgb="FF374151"/>
      <name val="Be Vietnam Pro"/>
    </font>
    <font>
      <sz val="10.0"/>
      <color rgb="FF111827"/>
      <name val="Be Vietnam Pro"/>
    </font>
    <font>
      <b/>
      <sz val="10.0"/>
      <color rgb="FF111827"/>
      <name val="Be Vietnam Pro"/>
    </font>
    <font>
      <b/>
      <sz val="10.0"/>
      <color rgb="FFFFFFFF"/>
      <name val="Be Vietnam Pro"/>
    </font>
    <font>
      <color theme="1"/>
      <name val="Be Vietnam Pro"/>
    </font>
    <font>
      <b/>
      <sz val="10.0"/>
      <color rgb="FF111827"/>
      <name val="Arial"/>
    </font>
    <font>
      <b/>
      <sz val="12.0"/>
      <color rgb="FF704023"/>
      <name val="Arial"/>
    </font>
    <font>
      <b/>
      <sz val="11.0"/>
      <color rgb="FFFFFFFF"/>
      <name val="Be Vietnam Pro"/>
    </font>
    <font>
      <i/>
      <sz val="11.0"/>
      <color rgb="FF374151"/>
      <name val="Be Vietnam Pro"/>
    </font>
    <font>
      <sz val="11.0"/>
      <color rgb="FF111827"/>
      <name val="Be Vietnam Pro"/>
    </font>
    <font>
      <sz val="11.0"/>
      <color theme="1"/>
      <name val="Be Vietnam Pro"/>
    </font>
    <font>
      <b/>
      <sz val="16.0"/>
      <color rgb="FFFFFFFF"/>
      <name val="Carlito"/>
    </font>
    <font>
      <sz val="11.0"/>
      <color rgb="FF334155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1.0"/>
      <color rgb="FF134E4A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1F3A3D"/>
        <bgColor rgb="FF1F3A3D"/>
      </patternFill>
    </fill>
    <fill>
      <patternFill patternType="solid">
        <fgColor rgb="FFF2F7F3"/>
        <bgColor rgb="FFF2F7F3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  <fill>
      <patternFill patternType="solid">
        <fgColor rgb="FFD9A441"/>
        <bgColor rgb="FFD9A441"/>
      </patternFill>
    </fill>
    <fill>
      <patternFill patternType="solid">
        <fgColor rgb="FFDDEBDD"/>
        <bgColor rgb="FFDDEBDD"/>
      </patternFill>
    </fill>
    <fill>
      <patternFill patternType="solid">
        <fgColor rgb="FFFFF7ED"/>
        <bgColor rgb="FFFFF7ED"/>
      </patternFill>
    </fill>
    <fill>
      <patternFill patternType="solid">
        <fgColor rgb="FFF8FAFC"/>
        <bgColor rgb="FFF8FAFC"/>
      </patternFill>
    </fill>
    <fill>
      <patternFill patternType="solid">
        <fgColor rgb="FF115E59"/>
        <bgColor rgb="FF115E59"/>
      </patternFill>
    </fill>
    <fill>
      <patternFill patternType="solid">
        <fgColor rgb="FFCCFBF1"/>
        <bgColor rgb="FFCCFBF1"/>
      </patternFill>
    </fill>
    <fill>
      <patternFill patternType="solid">
        <fgColor rgb="FFFFFBEB"/>
        <bgColor rgb="FFFFFBEB"/>
      </patternFill>
    </fill>
    <fill>
      <patternFill patternType="solid">
        <fgColor rgb="FFECFEFF"/>
        <bgColor rgb="FFECFE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5" fontId="3" numFmtId="0" xfId="0" applyAlignment="1" applyBorder="1" applyFill="1" applyFont="1">
      <alignment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1" fillId="3" fontId="11" numFmtId="0" xfId="0" applyAlignment="1" applyBorder="1" applyFont="1">
      <alignment horizontal="center" shrinkToFit="0" vertical="center" wrapText="1"/>
    </xf>
    <xf borderId="12" fillId="7" fontId="1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top" wrapText="1"/>
    </xf>
    <xf borderId="0" fillId="0" fontId="9" numFmtId="164" xfId="0" applyAlignment="1" applyFont="1" applyNumberFormat="1">
      <alignment shrinkToFit="0" vertical="top" wrapText="1"/>
    </xf>
    <xf borderId="0" fillId="0" fontId="9" numFmtId="164" xfId="0" applyAlignment="1" applyFont="1" applyNumberFormat="1">
      <alignment readingOrder="0" shrinkToFit="0" vertical="top" wrapText="1"/>
    </xf>
    <xf borderId="0" fillId="0" fontId="9" numFmtId="3" xfId="0" applyAlignment="1" applyFont="1" applyNumberFormat="1">
      <alignment shrinkToFit="0" vertical="top" wrapText="1"/>
    </xf>
    <xf borderId="0" fillId="0" fontId="9" numFmtId="3" xfId="0" applyAlignment="1" applyFont="1" applyNumberFormat="1">
      <alignment readingOrder="0" shrinkToFit="0" vertical="top" wrapText="1"/>
    </xf>
    <xf borderId="0" fillId="0" fontId="9" numFmtId="9" xfId="0" applyAlignment="1" applyFont="1" applyNumberFormat="1">
      <alignment shrinkToFit="0" vertical="top" wrapText="1"/>
    </xf>
    <xf borderId="4" fillId="8" fontId="13" numFmtId="0" xfId="0" applyAlignment="1" applyBorder="1" applyFill="1" applyFont="1">
      <alignment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3" fontId="15" numFmtId="0" xfId="0" applyAlignment="1" applyBorder="1" applyFont="1">
      <alignment horizontal="center" shrinkToFit="0" vertical="center" wrapText="1"/>
    </xf>
    <xf borderId="0" fillId="0" fontId="16" numFmtId="0" xfId="0" applyFont="1"/>
    <xf borderId="12" fillId="7" fontId="14" numFmtId="0" xfId="0" applyAlignment="1" applyBorder="1" applyFont="1">
      <alignment horizontal="center" shrinkToFit="0" vertical="center" wrapText="1"/>
    </xf>
    <xf borderId="0" fillId="0" fontId="17" numFmtId="0" xfId="0" applyFont="1"/>
    <xf borderId="0" fillId="0" fontId="18" numFmtId="0" xfId="0" applyFont="1"/>
    <xf borderId="0" fillId="0" fontId="16" numFmtId="0" xfId="0" applyAlignment="1" applyFont="1">
      <alignment shrinkToFit="0" vertical="top" wrapText="1"/>
    </xf>
    <xf borderId="1" fillId="2" fontId="19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0" fillId="0" fontId="21" numFmtId="0" xfId="0" applyFont="1"/>
    <xf borderId="12" fillId="7" fontId="2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top" wrapText="1"/>
    </xf>
    <xf borderId="0" fillId="0" fontId="21" numFmtId="164" xfId="0" applyAlignment="1" applyFont="1" applyNumberFormat="1">
      <alignment shrinkToFit="0" vertical="top" wrapText="1"/>
    </xf>
    <xf borderId="12" fillId="7" fontId="23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top" wrapText="1"/>
    </xf>
    <xf borderId="0" fillId="0" fontId="21" numFmtId="164" xfId="0" applyAlignment="1" applyFont="1" applyNumberFormat="1">
      <alignment shrinkToFit="0" vertical="top" wrapText="1"/>
    </xf>
    <xf borderId="0" fillId="0" fontId="24" numFmtId="0" xfId="0" applyFont="1"/>
    <xf borderId="0" fillId="0" fontId="21" numFmtId="165" xfId="0" applyAlignment="1" applyFont="1" applyNumberFormat="1">
      <alignment shrinkToFit="0" vertical="top" wrapText="1"/>
    </xf>
    <xf borderId="0" fillId="0" fontId="21" numFmtId="3" xfId="0" applyAlignment="1" applyFont="1" applyNumberFormat="1">
      <alignment shrinkToFit="0" vertical="top" wrapText="1"/>
    </xf>
    <xf borderId="0" fillId="0" fontId="21" numFmtId="3" xfId="0" applyAlignment="1" applyFont="1" applyNumberFormat="1">
      <alignment readingOrder="0" shrinkToFit="0" vertical="top" wrapText="1"/>
    </xf>
    <xf borderId="0" fillId="0" fontId="21" numFmtId="9" xfId="0" applyAlignment="1" applyFont="1" applyNumberFormat="1">
      <alignment shrinkToFit="0" vertical="top" wrapText="1"/>
    </xf>
    <xf borderId="12" fillId="7" fontId="25" numFmtId="0" xfId="0" applyAlignment="1" applyBorder="1" applyFont="1">
      <alignment horizontal="center" shrinkToFit="0" vertical="center" wrapText="1"/>
    </xf>
    <xf borderId="12" fillId="8" fontId="26" numFmtId="164" xfId="0" applyAlignment="1" applyBorder="1" applyFont="1" applyNumberFormat="1">
      <alignment horizontal="center" vertical="center"/>
    </xf>
    <xf borderId="12" fillId="8" fontId="26" numFmtId="3" xfId="0" applyAlignment="1" applyBorder="1" applyFont="1" applyNumberFormat="1">
      <alignment horizontal="center" vertical="center"/>
    </xf>
    <xf borderId="12" fillId="8" fontId="26" numFmtId="9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3" numFmtId="3" xfId="0" applyAlignment="1" applyFont="1" applyNumberFormat="1">
      <alignment shrinkToFit="0" vertical="top" wrapText="1"/>
    </xf>
    <xf borderId="0" fillId="0" fontId="3" numFmtId="9" xfId="0" applyAlignment="1" applyFont="1" applyNumberForma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49" xfId="0" applyFont="1" applyNumberFormat="1"/>
    <xf borderId="0" fillId="0" fontId="3" numFmtId="164" xfId="0" applyFont="1" applyNumberFormat="1"/>
    <xf borderId="1" fillId="2" fontId="27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vertical="center"/>
    </xf>
    <xf borderId="12" fillId="7" fontId="27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12" fillId="7" fontId="22" numFmtId="0" xfId="0" applyAlignment="1" applyBorder="1" applyFont="1">
      <alignment horizontal="center" shrinkToFit="0" vertical="center" wrapText="1"/>
    </xf>
    <xf borderId="1" fillId="4" fontId="27" numFmtId="0" xfId="0" applyAlignment="1" applyBorder="1" applyFont="1">
      <alignment horizontal="left" shrinkToFit="0" vertical="center" wrapText="1"/>
    </xf>
    <xf borderId="1" fillId="3" fontId="22" numFmtId="0" xfId="0" applyAlignment="1" applyBorder="1" applyFont="1">
      <alignment shrinkToFit="0" wrapText="1"/>
    </xf>
    <xf borderId="0" fillId="4" fontId="31" numFmtId="0" xfId="0" applyAlignment="1" applyFont="1">
      <alignment horizontal="center" shrinkToFit="0" vertical="center" wrapText="1"/>
    </xf>
    <xf borderId="0" fillId="9" fontId="32" numFmtId="0" xfId="0" applyAlignment="1" applyFill="1" applyFont="1">
      <alignment shrinkToFit="0" wrapText="1"/>
    </xf>
    <xf borderId="0" fillId="0" fontId="33" numFmtId="0" xfId="0" applyAlignment="1" applyFont="1">
      <alignment shrinkToFit="0" wrapText="1"/>
    </xf>
    <xf borderId="0" fillId="10" fontId="34" numFmtId="0" xfId="0" applyAlignment="1" applyFill="1" applyFont="1">
      <alignment horizontal="center" shrinkToFit="0" vertical="center" wrapText="1"/>
    </xf>
    <xf borderId="0" fillId="11" fontId="35" numFmtId="0" xfId="0" applyAlignment="1" applyFill="1" applyFont="1">
      <alignment horizontal="center" shrinkToFit="0" vertical="center" wrapText="1"/>
    </xf>
    <xf borderId="0" fillId="4" fontId="34" numFmtId="0" xfId="0" applyAlignment="1" applyFont="1">
      <alignment horizontal="center" shrinkToFit="0" vertical="center" wrapText="1"/>
    </xf>
    <xf borderId="0" fillId="4" fontId="34" numFmtId="0" xfId="0" applyAlignment="1" applyFont="1">
      <alignment horizontal="center" shrinkToFit="0" vertical="center" wrapText="1"/>
    </xf>
    <xf borderId="0" fillId="12" fontId="33" numFmtId="0" xfId="0" applyAlignment="1" applyFill="1" applyFont="1">
      <alignment shrinkToFit="0" wrapText="1"/>
    </xf>
    <xf borderId="0" fillId="12" fontId="33" numFmtId="166" xfId="0" applyAlignment="1" applyFont="1" applyNumberFormat="1">
      <alignment shrinkToFit="0" wrapText="1"/>
    </xf>
    <xf borderId="0" fillId="13" fontId="33" numFmtId="0" xfId="0" applyAlignment="1" applyFill="1" applyFont="1">
      <alignment shrinkToFit="0" wrapText="1"/>
    </xf>
    <xf borderId="0" fillId="12" fontId="33" numFmtId="3" xfId="0" applyAlignment="1" applyFont="1" applyNumberFormat="1">
      <alignment shrinkToFit="0" wrapText="1"/>
    </xf>
    <xf borderId="0" fillId="13" fontId="33" numFmtId="167" xfId="0" applyAlignment="1" applyFont="1" applyNumberFormat="1">
      <alignment shrinkToFit="0" wrapText="1"/>
    </xf>
    <xf borderId="0" fillId="13" fontId="33" numFmtId="9" xfId="0" applyAlignment="1" applyFont="1" applyNumberFormat="1">
      <alignment shrinkToFit="0" wrapText="1"/>
    </xf>
    <xf borderId="0" fillId="12" fontId="33" numFmtId="167" xfId="0" applyAlignment="1" applyFont="1" applyNumberFormat="1">
      <alignment shrinkToFit="0" wrapText="1"/>
    </xf>
    <xf borderId="0" fillId="0" fontId="33" numFmtId="0" xfId="0" applyAlignment="1" applyFont="1">
      <alignment shrinkToFit="0" wrapText="1"/>
    </xf>
    <xf borderId="0" fillId="0" fontId="33" numFmtId="167" xfId="0" applyAlignment="1" applyFont="1" applyNumberFormat="1">
      <alignment shrinkToFit="0" wrapText="1"/>
    </xf>
    <xf borderId="0" fillId="0" fontId="33" numFmtId="167" xfId="0" applyAlignment="1" applyFont="1" applyNumberFormat="1">
      <alignment shrinkToFit="0" wrapText="1"/>
    </xf>
    <xf borderId="0" fillId="13" fontId="33" numFmtId="3" xfId="0" applyAlignment="1" applyFont="1" applyNumberFormat="1">
      <alignment shrinkToFit="0" wrapText="1"/>
    </xf>
    <xf borderId="0" fillId="12" fontId="33" numFmtId="0" xfId="0" applyAlignment="1" applyFont="1">
      <alignment shrinkToFit="0" wrapText="1"/>
    </xf>
    <xf borderId="0" fillId="13" fontId="33" numFmtId="9" xfId="0" applyAlignment="1" applyFont="1" applyNumberFormat="1">
      <alignment shrinkToFit="0" wrapText="1"/>
    </xf>
    <xf borderId="0" fillId="13" fontId="33" numFmtId="167" xfId="0" applyAlignment="1" applyFont="1" applyNumberFormat="1">
      <alignment shrinkToFit="0" wrapText="1"/>
    </xf>
    <xf borderId="0" fillId="12" fontId="33" numFmtId="167" xfId="0" applyAlignment="1" applyFont="1" applyNumberFormat="1">
      <alignment shrinkToFit="0" wrapText="1"/>
    </xf>
    <xf borderId="0" fillId="12" fontId="33" numFmtId="3" xfId="0" applyAlignment="1" applyFont="1" applyNumberFormat="1">
      <alignment shrinkToFit="0" wrapText="1"/>
    </xf>
    <xf borderId="0" fillId="12" fontId="33" numFmtId="9" xfId="0" applyAlignment="1" applyFont="1" applyNumberForma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DE2E2"/>
          <bgColor rgb="FFFDE2E2"/>
        </patternFill>
      </fill>
      <border/>
    </dxf>
  </dxfs>
  <tableStyles count="10">
    <tableStyle count="3" pivot="0" name="02 Funnel GTM-style">
      <tableStyleElement dxfId="1" type="headerRow"/>
      <tableStyleElement dxfId="2" type="firstRowStripe"/>
      <tableStyleElement dxfId="3" type="secondRowStripe"/>
    </tableStyle>
    <tableStyle count="3" pivot="0" name="03 Leader B2B2C-style">
      <tableStyleElement dxfId="1" type="headerRow"/>
      <tableStyleElement dxfId="2" type="firstRowStripe"/>
      <tableStyleElement dxfId="3" type="secondRowStripe"/>
    </tableStyle>
    <tableStyle count="3" pivot="0" name="04 Marketing 30D-style">
      <tableStyleElement dxfId="1" type="headerRow"/>
      <tableStyleElement dxfId="2" type="firstRowStripe"/>
      <tableStyleElement dxfId="3" type="secondRowStripe"/>
    </tableStyle>
    <tableStyle count="3" pivot="0" name="05 Ops Tracker-style">
      <tableStyleElement dxfId="1" type="headerRow"/>
      <tableStyleElement dxfId="2" type="firstRowStripe"/>
      <tableStyleElement dxfId="3" type="secondRowStripe"/>
    </tableStyle>
    <tableStyle count="3" pivot="0" name="07 CRM Flow-style">
      <tableStyleElement dxfId="1" type="headerRow"/>
      <tableStyleElement dxfId="2" type="firstRowStripe"/>
      <tableStyleElement dxfId="3" type="secondRowStripe"/>
    </tableStyle>
    <tableStyle count="3" pivot="0" name="08 Risk Rules-style">
      <tableStyleElement dxfId="1" type="headerRow"/>
      <tableStyleElement dxfId="2" type="firstRowStripe"/>
      <tableStyleElement dxfId="3" type="secondRowStripe"/>
    </tableStyle>
    <tableStyle count="3" pivot="0" name="10 Partners-style">
      <tableStyleElement dxfId="1" type="headerRow"/>
      <tableStyleElement dxfId="2" type="firstRowStripe"/>
      <tableStyleElement dxfId="3" type="secondRowStripe"/>
    </tableStyle>
    <tableStyle count="3" pivot="0" name="11 CTV Product-style">
      <tableStyleElement dxfId="1" type="headerRow"/>
      <tableStyleElement dxfId="2" type="firstRowStripe"/>
      <tableStyleElement dxfId="3" type="secondRowStripe"/>
    </tableStyle>
    <tableStyle count="3" pivot="0" name="12 Gift Event-style">
      <tableStyleElement dxfId="1" type="headerRow"/>
      <tableStyleElement dxfId="2" type="firstRowStripe"/>
      <tableStyleElement dxfId="3" type="secondRowStripe"/>
    </tableStyle>
    <tableStyle count="3" pivot="0" name="13 Policy Matri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Doanh thu &amp; Lợi nhuận gộp ước tính theo ngày</a:t>
            </a:r>
          </a:p>
        </c:rich>
      </c:tx>
      <c:overlay val="0"/>
    </c:title>
    <c:plotArea>
      <c:layout/>
      <c:lineChart>
        <c:ser>
          <c:idx val="0"/>
          <c:order val="0"/>
          <c:tx>
            <c:v>Tổng DT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'06 KPI Dashboard'!$A$22:$A$51</c:f>
            </c:strRef>
          </c:cat>
          <c:val>
            <c:numRef>
              <c:f>'06 KPI Dashboard'!$B$22:$B$51</c:f>
              <c:numCache/>
            </c:numRef>
          </c:val>
          <c:smooth val="0"/>
        </c:ser>
        <c:ser>
          <c:idx val="1"/>
          <c:order val="1"/>
          <c:tx>
            <c:v>LN gộp ước tính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'06 KPI Dashboard'!$A$22:$A$51</c:f>
            </c:strRef>
          </c:cat>
          <c:val>
            <c:numRef>
              <c:f>'06 KPI Dashboard'!$C$22:$C$51</c:f>
              <c:numCache/>
            </c:numRef>
          </c:val>
          <c:smooth val="0"/>
        </c:ser>
        <c:axId val="333220442"/>
        <c:axId val="770563148"/>
      </c:lineChart>
      <c:catAx>
        <c:axId val="333220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563148"/>
      </c:catAx>
      <c:valAx>
        <c:axId val="770563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22044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Doanh thu &amp; Payout theo nguồn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'14 Growth Dashboard'!$G$5:$G$7</c:f>
            </c:strRef>
          </c:cat>
          <c:val>
            <c:numRef>
              <c:f>'14 Growth Dashboard'!$H$5:$H$7</c:f>
              <c:numCache/>
            </c:numRef>
          </c:val>
        </c:ser>
        <c:ser>
          <c:idx val="1"/>
          <c:order val="1"/>
          <c:cat>
            <c:strRef>
              <c:f>'14 Growth Dashboard'!$G$5:$G$7</c:f>
            </c:strRef>
          </c:cat>
          <c:val>
            <c:numRef>
              <c:f>'14 Growth Dashboard'!$I$5:$I$7</c:f>
              <c:numCache/>
            </c:numRef>
          </c:val>
        </c:ser>
        <c:axId val="1274547740"/>
        <c:axId val="1118568317"/>
      </c:barChart>
      <c:catAx>
        <c:axId val="1274547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568317"/>
      </c:catAx>
      <c:valAx>
        <c:axId val="11185683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745477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Tiến độ KPI tháng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Kết quả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'14 Growth Dashboard'!$A$5:$A$15</c:f>
            </c:strRef>
          </c:cat>
          <c:val>
            <c:numRef>
              <c:f>'14 Growth Dashboard'!$B$5:$B$15</c:f>
              <c:numCache/>
            </c:numRef>
          </c:val>
        </c:ser>
        <c:ser>
          <c:idx val="1"/>
          <c:order val="1"/>
          <c:tx>
            <c:v>Mục tiêu tháng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'14 Growth Dashboard'!$A$5:$A$15</c:f>
            </c:strRef>
          </c:cat>
          <c:val>
            <c:numRef>
              <c:f>'14 Growth Dashboard'!$C$5:$C$15</c:f>
              <c:numCache/>
            </c:numRef>
          </c:val>
        </c:ser>
        <c:ser>
          <c:idx val="2"/>
          <c:order val="2"/>
          <c:tx>
            <c:v>Tiến độ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'14 Growth Dashboard'!$A$5:$A$15</c:f>
            </c:strRef>
          </c:cat>
          <c:val>
            <c:numRef>
              <c:f>'14 Growth Dashboard'!$D$5:$D$15</c:f>
              <c:numCache/>
            </c:numRef>
          </c:val>
        </c:ser>
        <c:axId val="1530540151"/>
        <c:axId val="1035103605"/>
      </c:barChart>
      <c:catAx>
        <c:axId val="1530540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103605"/>
      </c:catAx>
      <c:valAx>
        <c:axId val="1035103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5401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7</xdr:row>
      <xdr:rowOff>0</xdr:rowOff>
    </xdr:from>
    <xdr:ext cx="8534400" cy="3219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0</xdr:rowOff>
    </xdr:from>
    <xdr:ext cx="8991600" cy="38004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9144000" cy="42005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I11" displayName="Table_1" name="Table_1" id="1">
  <tableColumns count="9">
    <tableColumn name="Giai đoạn" id="1"/>
    <tableColumn name="Mục tiêu" id="2"/>
    <tableColumn name="Hành động chính" id="3"/>
    <tableColumn name="Offer chính" id="4"/>
    <tableColumn name="Kênh" id="5"/>
    <tableColumn name="Owner đề xuất" id="6"/>
    <tableColumn name="KPI chính" id="7"/>
    <tableColumn name="Trạng thái" id="8"/>
    <tableColumn name="Ghi chú" id="9"/>
  </tableColumns>
  <tableStyleInfo name="02 Funnel GTM-style" showColumnStripes="0" showFirstColumn="1" showLastColumn="1" showRowStripes="1"/>
</table>
</file>

<file path=xl/tables/table2.xml><?xml version="1.0" encoding="utf-8"?>
<table xmlns="http://schemas.openxmlformats.org/spreadsheetml/2006/main" ref="A23:J53" displayName="Table_2" name="Table_2" id="2">
  <tableColumns count="10">
    <tableColumn name="Mã Leader" id="1"/>
    <tableColumn name="Tên/Đối tác" id="2"/>
    <tableColumn name="Nhóm" id="3"/>
    <tableColumn name="Kênh chính" id="4"/>
    <tableColumn name="Thẻ Giọt Lành" id="5"/>
    <tableColumn name="Thẻ Ban Mai" id="6"/>
    <tableColumn name="Doanh thu thẻ" id="7"/>
    <tableColumn name="Hoa hồng" id="8"/>
    <tableColumn name="Trạng thái" id="9"/>
    <tableColumn name="Ghi chú" id="10"/>
  </tableColumns>
  <tableStyleInfo name="03 Leader B2B2C-style" showColumnStripes="0" showFirstColumn="1" showLastColumn="1" showRowStripes="1"/>
</table>
</file>

<file path=xl/tables/table3.xml><?xml version="1.0" encoding="utf-8"?>
<table xmlns="http://schemas.openxmlformats.org/spreadsheetml/2006/main" ref="A4:J34" displayName="Table_3" name="Table_3" id="3">
  <tableColumns count="10">
    <tableColumn name="Ngày" id="1"/>
    <tableColumn name="Giai đoạn" id="2"/>
    <tableColumn name="Trụ cột" id="3"/>
    <tableColumn name="Nội dung triển khai" id="4"/>
    <tableColumn name="Kênh" id="5"/>
    <tableColumn name="Owner" id="6"/>
    <tableColumn name="Trạng thái" id="7"/>
    <tableColumn name="KPI đích" id="8"/>
    <tableColumn name="Kết quả" id="9"/>
    <tableColumn name="Ghi chú" id="10"/>
  </tableColumns>
  <tableStyleInfo name="04 Marketing 30D-style" showColumnStripes="0" showFirstColumn="1" showLastColumn="1" showRowStripes="1"/>
</table>
</file>

<file path=xl/tables/table4.xml><?xml version="1.0" encoding="utf-8"?>
<table xmlns="http://schemas.openxmlformats.org/spreadsheetml/2006/main" ref="A4:U34" displayName="Table_4" name="Table_4" id="4">
  <tableColumns count="21">
    <tableColumn name="Ngày" id="1"/>
    <tableColumn name="Thứ" id="2"/>
    <tableColumn name="Thẻ Giọt Lành" id="3"/>
    <tableColumn name="Thẻ Ban Mai" id="4"/>
    <tableColumn name="Chai Mộc Mè" id="5"/>
    <tableColumn name="Chai Lạc Hương" id="6"/>
    <tableColumn name="Chai Mộc Đậu" id="7"/>
    <tableColumn name="Tổng chai" id="8"/>
    <tableColumn name="Set Ban Mai" id="9"/>
    <tableColumn name="DT thẻ" id="10"/>
    <tableColumn name="DT sữa" id="11"/>
    <tableColumn name="DT Ban Mai" id="12"/>
    <tableColumn name="Tổng DT" id="13"/>
    <tableColumn name="Cost sữa" id="14"/>
    <tableColumn name="Cost Ban Mai" id="15"/>
    <tableColumn name="HH Leader" id="16"/>
    <tableColumn name="LN gộp ước tính" id="17"/>
    <tableColumn name="Hàng dư/hủy" id="18"/>
    <tableColumn name="Đúng giờ %" id="19"/>
    <tableColumn name="Khiếu nại" id="20"/>
    <tableColumn name="Ghi chú" id="21"/>
  </tableColumns>
  <tableStyleInfo name="05 Ops Tracker-style" showColumnStripes="0" showFirstColumn="1" showLastColumn="1" showRowStripes="1"/>
</table>
</file>

<file path=xl/tables/table5.xml><?xml version="1.0" encoding="utf-8"?>
<table xmlns="http://schemas.openxmlformats.org/spreadsheetml/2006/main" ref="A4:I12" displayName="Table_5" name="Table_5" id="5">
  <tableColumns count="9">
    <tableColumn name="Giai đoạn" id="1"/>
    <tableColumn name="Khách nghĩ gì?" id="2"/>
    <tableColumn name="Brand cần làm" id="3"/>
    <tableColumn name="Công cụ" id="4"/>
    <tableColumn name="Trigger" id="5"/>
    <tableColumn name="Owner" id="6"/>
    <tableColumn name="Trạng thái" id="7"/>
    <tableColumn name="Thông điệp mẫu" id="8"/>
    <tableColumn name="Ghi chú" id="9"/>
  </tableColumns>
  <tableStyleInfo name="07 CRM Flow-style" showColumnStripes="0" showFirstColumn="1" showLastColumn="1" showRowStripes="1"/>
</table>
</file>

<file path=xl/tables/table6.xml><?xml version="1.0" encoding="utf-8"?>
<table xmlns="http://schemas.openxmlformats.org/spreadsheetml/2006/main" ref="A4:J14" displayName="Table_6" name="Table_6" id="6">
  <tableColumns count="10">
    <tableColumn name="Rủi ro" id="1"/>
    <tableColumn name="Mức độ" id="2"/>
    <tableColumn name="Tác động" id="3"/>
    <tableColumn name="Cách khóa" id="4"/>
    <tableColumn name="Owner" id="5"/>
    <tableColumn name="Deadline" id="6"/>
    <tableColumn name="Trạng thái" id="7"/>
    <tableColumn name="Chỉ báo sớm" id="8"/>
    <tableColumn name="Phản ứng nhanh" id="9"/>
    <tableColumn name="Ghi chú" id="10"/>
  </tableColumns>
  <tableStyleInfo name="08 Risk Rules-style" showColumnStripes="0" showFirstColumn="1" showLastColumn="1" showRowStripes="1"/>
</table>
</file>

<file path=xl/tables/table7.xml><?xml version="1.0" encoding="utf-8"?>
<table xmlns="http://schemas.openxmlformats.org/spreadsheetml/2006/main" ref="A3:AI303" displayName="Table_7" name="Table_7" id="7">
  <tableColumns count="35">
    <tableColumn name="Partner ID" id="1"/>
    <tableColumn name="Ngày liên hệ" id="2"/>
    <tableColumn name="Tên đối tác" id="3"/>
    <tableColumn name="Loại đối tác" id="4"/>
    <tableColumn name="Người liên hệ" id="5"/>
    <tableColumn name="SĐT/Zalo" id="6"/>
    <tableColumn name="Khu vực" id="7"/>
    <tableColumn name="Nguồn liên hệ" id="8"/>
    <tableColumn name="Tệp khách chính" id="9"/>
    <tableColumn name="Hình thức tiếp cận" id="10"/>
    <tableColumn name="Set quà/Sự kiện" id="11"/>
    <tableColumn name="Ngày gửi quà/sự kiện" id="12"/>
    <tableColumn name="Feedback/cảm nhận" id="13"/>
    <tableColumn name="Trạng thái cảm xúc" id="14"/>
    <tableColumn name="Level hiện tại" id="15"/>
    <tableColumn name="Điểm tiềm năng" id="16"/>
    <tableColumn name="Điểm fit/uy tín" id="17"/>
    <tableColumn name="Điểm bán/group order" id="18"/>
    <tableColumn name="Tổng điểm" id="19"/>
    <tableColumn name="Level gợi ý" id="20"/>
    <tableColumn name="Target thẻ GL" id="21"/>
    <tableColumn name="Target thẻ BM" id="22"/>
    <tableColumn name="Target set BM" id="23"/>
    <tableColumn name="Thẻ GL bán" id="24"/>
    <tableColumn name="Thẻ BM bán" id="25"/>
    <tableColumn name="Set BM bán" id="26"/>
    <tableColumn name="Doanh thu ghi nhận" id="27"/>
    <tableColumn name="Hoa hồng tạm tính" id="28"/>
    <tableColumn name="Bonus tạm tính" id="29"/>
    <tableColumn name="Tổng payout" id="30"/>
    <tableColumn name="Tiến độ thẻ" id="31"/>
    <tableColumn name="Tiến độ set" id="32"/>
    <tableColumn name="Follow-up kế tiếp" id="33"/>
    <tableColumn name="Owner" id="34"/>
    <tableColumn name="Ghi chú" id="35"/>
  </tableColumns>
  <tableStyleInfo name="10 Partners-style" showColumnStripes="0" showFirstColumn="1" showLastColumn="1" showRowStripes="1"/>
</table>
</file>

<file path=xl/tables/table8.xml><?xml version="1.0" encoding="utf-8"?>
<table xmlns="http://schemas.openxmlformats.org/spreadsheetml/2006/main" ref="A3:AH303" displayName="Table_8" name="Table_8" id="8">
  <tableColumns count="34">
    <tableColumn name="CTV ID" id="1"/>
    <tableColumn name="Ngày onboard" id="2"/>
    <tableColumn name="Họ tên" id="3"/>
    <tableColumn name="Nhóm CTV" id="4"/>
    <tableColumn name="Kênh/Tệp" id="5"/>
    <tableColumn name="SĐT/Zalo" id="6"/>
    <tableColumn name="Khu vực" id="7"/>
    <tableColumn name="Nguồn" id="8"/>
    <tableColumn name="Set quà đã nhận" id="9"/>
    <tableColumn name="Feedback chính" id="10"/>
    <tableColumn name="Trạng thái cảm xúc" id="11"/>
    <tableColumn name="Level hiện tại" id="12"/>
    <tableColumn name="Điểm fit" id="13"/>
    <tableColumn name="Điểm tương tác" id="14"/>
    <tableColumn name="Điểm network" id="15"/>
    <tableColumn name="Tổng điểm" id="16"/>
    <tableColumn name="Level gợi ý" id="17"/>
    <tableColumn name="Người được tặng quà" id="18"/>
    <tableColumn name="Số phản hồi" id="19"/>
    <tableColumn name="Lead giới thiệu" id="20"/>
    <tableColumn name="Thẻ GL bán" id="21"/>
    <tableColumn name="Thẻ BM bán" id="22"/>
    <tableColumn name="Set BM bán" id="23"/>
    <tableColumn name="Doanh thu ghi nhận" id="24"/>
    <tableColumn name="Hoa hồng tạm tính" id="25"/>
    <tableColumn name="Bonus tạm tính" id="26"/>
    <tableColumn name="Tổng payout" id="27"/>
    <tableColumn name="Tỷ lệ phản hồi" id="28"/>
    <tableColumn name="Tỷ lệ lead→thẻ" id="29"/>
    <tableColumn name="KPI đơn/tháng" id="30"/>
    <tableColumn name="Tiến độ KPI" id="31"/>
    <tableColumn name="Payout status" id="32"/>
    <tableColumn name="Owner" id="33"/>
    <tableColumn name="Ghi chú" id="34"/>
  </tableColumns>
  <tableStyleInfo name="11 CTV Product-style" showColumnStripes="0" showFirstColumn="1" showLastColumn="1" showRowStripes="1"/>
</table>
</file>

<file path=xl/tables/table9.xml><?xml version="1.0" encoding="utf-8"?>
<table xmlns="http://schemas.openxmlformats.org/spreadsheetml/2006/main" ref="A3:Y203" displayName="Table_9" name="Table_9" id="9">
  <tableColumns count="25">
    <tableColumn name="Campaign ID" id="1"/>
    <tableColumn name="Ngày" id="2"/>
    <tableColumn name="Tên hoạt động" id="3"/>
    <tableColumn name="Loại hoạt động" id="4"/>
    <tableColumn name="Đối tượng mục tiêu" id="5"/>
    <tableColumn name="Set quà" id="6"/>
    <tableColumn name="Số lượng quà" id="7"/>
    <tableColumn name="Chi phí/set" id="8"/>
    <tableColumn name="Tổng cost quà" id="9"/>
    <tableColumn name="Phụ trách" id="10"/>
    <tableColumn name="Đối tác/CTV liên quan" id="11"/>
    <tableColumn name="Số phản hồi" id="12"/>
    <tableColumn name="Phản hồi tích cực" id="13"/>
    <tableColumn name="Số mã cấp" id="14"/>
    <tableColumn name="Thẻ GL" id="15"/>
    <tableColumn name="Thẻ BM" id="16"/>
    <tableColumn name="Set BM" id="17"/>
    <tableColumn name="Doanh thu ghi nhận" id="18"/>
    <tableColumn name="Hoa hồng/chi phí trả" id="19"/>
    <tableColumn name="Lãi trước chi phí khác" id="20"/>
    <tableColumn name="Tỷ lệ phản hồi" id="21"/>
    <tableColumn name="Tỷ lệ cấp mã" id="22"/>
    <tableColumn name="ROI gift/event" id="23"/>
    <tableColumn name="Trạng thái" id="24"/>
    <tableColumn name="Ghi chú" id="25"/>
  </tableColumns>
  <tableStyleInfo name="12 Gift Event-style" showColumnStripes="0" showFirstColumn="1" showLastColumn="1" showRowStripes="1"/>
</table>
</file>

<file path=xl/tables/table10.xml><?xml version="1.0" encoding="utf-8"?>
<table xmlns="http://schemas.openxmlformats.org/spreadsheetml/2006/main" ref="A3:K13" displayName="Table_10" name="Table_10" id="10">
  <tableColumns count="11">
    <tableColumn name="Level" id="1"/>
    <tableColumn name="Đối tượng áp dụng" id="2"/>
    <tableColumn name="Điều kiện lên level" id="3"/>
    <tableColumn name="HH Thẻ Giọt Lành" id="4"/>
    <tableColumn name="HH Thẻ Ban Mai" id="5"/>
    <tableColumn name="HH Set Ban Mai" id="6"/>
    <tableColumn name="Bonus mốc" id="7"/>
    <tableColumn name="Quyền lợi" id="8"/>
    <tableColumn name="Việc cần làm" id="9"/>
    <tableColumn name="Payout" id="10"/>
    <tableColumn name="Ghi chú kiểm soát" id="11"/>
  </tableColumns>
  <tableStyleInfo name="13 Policy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4.0"/>
    <col customWidth="1" min="3" max="3" width="16.0"/>
    <col customWidth="1" min="4" max="4" width="24.0"/>
    <col customWidth="1" min="5" max="5" width="16.0"/>
    <col customWidth="1" min="6" max="6" width="24.0"/>
    <col customWidth="1" min="7" max="7" width="16.0"/>
    <col customWidth="1" min="8" max="8" width="24.0"/>
    <col customWidth="1" min="9" max="9" width="16.0"/>
    <col customWidth="1" min="10" max="10" width="24.0"/>
    <col customWidth="1" min="11" max="11" width="16.0"/>
    <col customWidth="1" min="12" max="12" width="24.0"/>
    <col customWidth="1" min="13" max="26" width="8.63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</row>
    <row r="2" ht="21.75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5"/>
      <c r="W2" s="5"/>
      <c r="X2" s="5"/>
      <c r="Y2" s="5"/>
      <c r="Z2" s="5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5"/>
      <c r="Y3" s="5"/>
      <c r="Z3" s="5"/>
    </row>
    <row r="4" ht="17.25" customHeight="1">
      <c r="A4" s="7" t="s">
        <v>2</v>
      </c>
      <c r="B4" s="2"/>
      <c r="C4" s="2"/>
      <c r="D4" s="3"/>
      <c r="E4" s="7" t="s">
        <v>3</v>
      </c>
      <c r="F4" s="2"/>
      <c r="G4" s="2"/>
      <c r="H4" s="3"/>
      <c r="I4" s="7" t="s">
        <v>4</v>
      </c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5"/>
      <c r="Y4" s="5"/>
      <c r="Z4" s="5"/>
    </row>
    <row r="5" ht="13.5" customHeight="1">
      <c r="A5" s="8" t="s">
        <v>5</v>
      </c>
      <c r="B5" s="9"/>
      <c r="C5" s="9"/>
      <c r="D5" s="10"/>
      <c r="E5" s="8" t="s">
        <v>6</v>
      </c>
      <c r="F5" s="9"/>
      <c r="G5" s="9"/>
      <c r="H5" s="10"/>
      <c r="I5" s="8" t="s">
        <v>7</v>
      </c>
      <c r="J5" s="9"/>
      <c r="K5" s="9"/>
      <c r="L5" s="10"/>
      <c r="M5" s="4"/>
      <c r="N5" s="4"/>
      <c r="O5" s="4"/>
      <c r="P5" s="4"/>
      <c r="Q5" s="4"/>
      <c r="R5" s="4"/>
      <c r="S5" s="4"/>
      <c r="T5" s="4"/>
      <c r="U5" s="4"/>
      <c r="V5" s="5"/>
      <c r="W5" s="5"/>
      <c r="X5" s="5"/>
      <c r="Y5" s="5"/>
      <c r="Z5" s="5"/>
    </row>
    <row r="6" ht="13.5" customHeight="1">
      <c r="A6" s="11"/>
      <c r="D6" s="12"/>
      <c r="E6" s="11"/>
      <c r="H6" s="12"/>
      <c r="I6" s="11"/>
      <c r="L6" s="12"/>
      <c r="M6" s="4"/>
      <c r="N6" s="4"/>
      <c r="O6" s="4"/>
      <c r="P6" s="4"/>
      <c r="Q6" s="4"/>
      <c r="R6" s="4"/>
      <c r="S6" s="4"/>
      <c r="T6" s="4"/>
      <c r="U6" s="4"/>
      <c r="V6" s="5"/>
      <c r="W6" s="5"/>
      <c r="X6" s="5"/>
      <c r="Y6" s="5"/>
      <c r="Z6" s="5"/>
    </row>
    <row r="7" ht="13.5" customHeight="1">
      <c r="A7" s="11"/>
      <c r="D7" s="12"/>
      <c r="E7" s="11"/>
      <c r="H7" s="12"/>
      <c r="I7" s="11"/>
      <c r="L7" s="12"/>
      <c r="M7" s="4"/>
      <c r="N7" s="4"/>
      <c r="O7" s="4"/>
      <c r="P7" s="4"/>
      <c r="Q7" s="4"/>
      <c r="R7" s="4"/>
      <c r="S7" s="4"/>
      <c r="T7" s="4"/>
      <c r="U7" s="4"/>
      <c r="V7" s="5"/>
      <c r="W7" s="5"/>
      <c r="X7" s="5"/>
      <c r="Y7" s="5"/>
      <c r="Z7" s="5"/>
    </row>
    <row r="8" ht="13.5" customHeight="1">
      <c r="A8" s="13"/>
      <c r="B8" s="14"/>
      <c r="C8" s="14"/>
      <c r="D8" s="15"/>
      <c r="E8" s="13"/>
      <c r="F8" s="14"/>
      <c r="G8" s="14"/>
      <c r="H8" s="15"/>
      <c r="I8" s="13"/>
      <c r="J8" s="14"/>
      <c r="K8" s="14"/>
      <c r="L8" s="15"/>
      <c r="M8" s="4"/>
      <c r="N8" s="4"/>
      <c r="O8" s="4"/>
      <c r="P8" s="4"/>
      <c r="Q8" s="4"/>
      <c r="R8" s="4"/>
      <c r="S8" s="4"/>
      <c r="T8" s="4"/>
      <c r="U8" s="4"/>
      <c r="V8" s="5"/>
      <c r="W8" s="5"/>
      <c r="X8" s="5"/>
      <c r="Y8" s="5"/>
      <c r="Z8" s="5"/>
    </row>
    <row r="9" ht="17.25" customHeight="1">
      <c r="A9" s="7" t="s">
        <v>8</v>
      </c>
      <c r="B9" s="2"/>
      <c r="C9" s="2"/>
      <c r="D9" s="3"/>
      <c r="E9" s="7" t="s">
        <v>9</v>
      </c>
      <c r="F9" s="2"/>
      <c r="G9" s="2"/>
      <c r="H9" s="3"/>
      <c r="I9" s="7" t="s">
        <v>10</v>
      </c>
      <c r="J9" s="2"/>
      <c r="K9" s="2"/>
      <c r="L9" s="3"/>
      <c r="M9" s="4"/>
      <c r="N9" s="4"/>
      <c r="O9" s="4"/>
      <c r="P9" s="4"/>
      <c r="Q9" s="4"/>
      <c r="R9" s="4"/>
      <c r="S9" s="4"/>
      <c r="T9" s="4"/>
      <c r="U9" s="4"/>
      <c r="V9" s="5"/>
      <c r="W9" s="5"/>
      <c r="X9" s="5"/>
      <c r="Y9" s="5"/>
      <c r="Z9" s="5"/>
    </row>
    <row r="10" ht="13.5" customHeight="1">
      <c r="A10" s="16" t="s">
        <v>11</v>
      </c>
      <c r="B10" s="9"/>
      <c r="C10" s="9"/>
      <c r="D10" s="10"/>
      <c r="E10" s="16" t="s">
        <v>12</v>
      </c>
      <c r="F10" s="9"/>
      <c r="G10" s="9"/>
      <c r="H10" s="10"/>
      <c r="I10" s="16" t="s">
        <v>13</v>
      </c>
      <c r="J10" s="9"/>
      <c r="K10" s="9"/>
      <c r="L10" s="10"/>
      <c r="M10" s="4"/>
      <c r="N10" s="4"/>
      <c r="O10" s="4"/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ht="13.5" customHeight="1">
      <c r="A11" s="11"/>
      <c r="D11" s="12"/>
      <c r="E11" s="11"/>
      <c r="H11" s="12"/>
      <c r="I11" s="11"/>
      <c r="L11" s="12"/>
      <c r="M11" s="4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ht="13.5" customHeight="1">
      <c r="A12" s="11"/>
      <c r="D12" s="12"/>
      <c r="E12" s="11"/>
      <c r="H12" s="12"/>
      <c r="I12" s="11"/>
      <c r="L12" s="12"/>
      <c r="M12" s="4"/>
      <c r="N12" s="4"/>
      <c r="O12" s="4"/>
      <c r="P12" s="4"/>
      <c r="Q12" s="4"/>
      <c r="R12" s="4"/>
      <c r="S12" s="4"/>
      <c r="T12" s="4"/>
      <c r="U12" s="4"/>
      <c r="V12" s="5"/>
      <c r="W12" s="5"/>
      <c r="X12" s="5"/>
      <c r="Y12" s="5"/>
      <c r="Z12" s="5"/>
    </row>
    <row r="13" ht="13.5" customHeight="1">
      <c r="A13" s="13"/>
      <c r="B13" s="14"/>
      <c r="C13" s="14"/>
      <c r="D13" s="15"/>
      <c r="E13" s="13"/>
      <c r="F13" s="14"/>
      <c r="G13" s="14"/>
      <c r="H13" s="15"/>
      <c r="I13" s="13"/>
      <c r="J13" s="14"/>
      <c r="K13" s="14"/>
      <c r="L13" s="15"/>
      <c r="M13" s="4"/>
      <c r="N13" s="4"/>
      <c r="O13" s="4"/>
      <c r="P13" s="4"/>
      <c r="Q13" s="4"/>
      <c r="R13" s="4"/>
      <c r="S13" s="4"/>
      <c r="T13" s="4"/>
      <c r="U13" s="4"/>
      <c r="V13" s="5"/>
      <c r="W13" s="5"/>
      <c r="X13" s="5"/>
      <c r="Y13" s="5"/>
      <c r="Z13" s="5"/>
    </row>
    <row r="14" ht="17.25" customHeight="1">
      <c r="A14" s="7" t="s">
        <v>14</v>
      </c>
      <c r="B14" s="2"/>
      <c r="C14" s="2"/>
      <c r="D14" s="3"/>
      <c r="E14" s="7" t="s">
        <v>15</v>
      </c>
      <c r="F14" s="2"/>
      <c r="G14" s="2"/>
      <c r="H14" s="3"/>
      <c r="I14" s="7" t="s">
        <v>16</v>
      </c>
      <c r="J14" s="2"/>
      <c r="K14" s="2"/>
      <c r="L14" s="3"/>
      <c r="M14" s="4"/>
      <c r="N14" s="4"/>
      <c r="O14" s="4"/>
      <c r="P14" s="4"/>
      <c r="Q14" s="4"/>
      <c r="R14" s="4"/>
      <c r="S14" s="4"/>
      <c r="T14" s="4"/>
      <c r="U14" s="4"/>
      <c r="V14" s="5"/>
      <c r="W14" s="5"/>
      <c r="X14" s="5"/>
      <c r="Y14" s="5"/>
      <c r="Z14" s="5"/>
    </row>
    <row r="15" ht="13.5" customHeight="1">
      <c r="A15" s="8" t="s">
        <v>17</v>
      </c>
      <c r="B15" s="9"/>
      <c r="C15" s="9"/>
      <c r="D15" s="10"/>
      <c r="E15" s="8" t="s">
        <v>18</v>
      </c>
      <c r="F15" s="9"/>
      <c r="G15" s="9"/>
      <c r="H15" s="10"/>
      <c r="I15" s="8" t="s">
        <v>19</v>
      </c>
      <c r="J15" s="9"/>
      <c r="K15" s="9"/>
      <c r="L15" s="10"/>
      <c r="M15" s="4"/>
      <c r="N15" s="4"/>
      <c r="O15" s="4"/>
      <c r="P15" s="4"/>
      <c r="Q15" s="4"/>
      <c r="R15" s="4"/>
      <c r="S15" s="4"/>
      <c r="T15" s="4"/>
      <c r="U15" s="4"/>
      <c r="V15" s="5"/>
      <c r="W15" s="5"/>
      <c r="X15" s="5"/>
      <c r="Y15" s="5"/>
      <c r="Z15" s="5"/>
    </row>
    <row r="16" ht="13.5" customHeight="1">
      <c r="A16" s="11"/>
      <c r="D16" s="12"/>
      <c r="E16" s="11"/>
      <c r="H16" s="12"/>
      <c r="I16" s="11"/>
      <c r="L16" s="12"/>
      <c r="M16" s="4"/>
      <c r="N16" s="4"/>
      <c r="O16" s="4"/>
      <c r="P16" s="4"/>
      <c r="Q16" s="4"/>
      <c r="R16" s="4"/>
      <c r="S16" s="4"/>
      <c r="T16" s="4"/>
      <c r="U16" s="4"/>
      <c r="V16" s="5"/>
      <c r="W16" s="5"/>
      <c r="X16" s="5"/>
      <c r="Y16" s="5"/>
      <c r="Z16" s="5"/>
    </row>
    <row r="17" ht="13.5" customHeight="1">
      <c r="A17" s="11"/>
      <c r="D17" s="12"/>
      <c r="E17" s="11"/>
      <c r="H17" s="12"/>
      <c r="I17" s="11"/>
      <c r="L17" s="12"/>
      <c r="M17" s="4"/>
      <c r="N17" s="4"/>
      <c r="O17" s="4"/>
      <c r="P17" s="4"/>
      <c r="Q17" s="4"/>
      <c r="R17" s="4"/>
      <c r="S17" s="4"/>
      <c r="T17" s="4"/>
      <c r="U17" s="4"/>
      <c r="V17" s="5"/>
      <c r="W17" s="5"/>
      <c r="X17" s="5"/>
      <c r="Y17" s="5"/>
      <c r="Z17" s="5"/>
    </row>
    <row r="18" ht="13.5" customHeight="1">
      <c r="A18" s="13"/>
      <c r="B18" s="14"/>
      <c r="C18" s="14"/>
      <c r="D18" s="15"/>
      <c r="E18" s="13"/>
      <c r="F18" s="14"/>
      <c r="G18" s="14"/>
      <c r="H18" s="15"/>
      <c r="I18" s="13"/>
      <c r="J18" s="14"/>
      <c r="K18" s="14"/>
      <c r="L18" s="15"/>
      <c r="M18" s="4"/>
      <c r="N18" s="4"/>
      <c r="O18" s="4"/>
      <c r="P18" s="4"/>
      <c r="Q18" s="4"/>
      <c r="R18" s="4"/>
      <c r="S18" s="4"/>
      <c r="T18" s="4"/>
      <c r="U18" s="4"/>
      <c r="V18" s="5"/>
      <c r="W18" s="5"/>
      <c r="X18" s="5"/>
      <c r="Y18" s="5"/>
      <c r="Z18" s="5"/>
    </row>
    <row r="19" ht="17.25" customHeight="1">
      <c r="A19" s="7" t="s">
        <v>20</v>
      </c>
      <c r="B19" s="2"/>
      <c r="C19" s="2"/>
      <c r="D19" s="3"/>
      <c r="E19" s="7" t="s">
        <v>21</v>
      </c>
      <c r="F19" s="2"/>
      <c r="G19" s="2"/>
      <c r="H19" s="3"/>
      <c r="I19" s="7" t="s">
        <v>22</v>
      </c>
      <c r="J19" s="2"/>
      <c r="K19" s="2"/>
      <c r="L19" s="3"/>
      <c r="M19" s="4"/>
      <c r="N19" s="4"/>
      <c r="O19" s="4"/>
      <c r="P19" s="4"/>
      <c r="Q19" s="4"/>
      <c r="R19" s="4"/>
      <c r="S19" s="4"/>
      <c r="T19" s="4"/>
      <c r="U19" s="4"/>
      <c r="V19" s="5"/>
      <c r="W19" s="5"/>
      <c r="X19" s="5"/>
      <c r="Y19" s="5"/>
      <c r="Z19" s="5"/>
    </row>
    <row r="20" ht="13.5" customHeight="1">
      <c r="A20" s="16" t="s">
        <v>23</v>
      </c>
      <c r="B20" s="9"/>
      <c r="C20" s="9"/>
      <c r="D20" s="10"/>
      <c r="E20" s="16" t="s">
        <v>24</v>
      </c>
      <c r="F20" s="9"/>
      <c r="G20" s="9"/>
      <c r="H20" s="10"/>
      <c r="I20" s="16" t="s">
        <v>25</v>
      </c>
      <c r="J20" s="9"/>
      <c r="K20" s="9"/>
      <c r="L20" s="10"/>
      <c r="M20" s="4"/>
      <c r="N20" s="4"/>
      <c r="O20" s="4"/>
      <c r="P20" s="4"/>
      <c r="Q20" s="4"/>
      <c r="R20" s="4"/>
      <c r="S20" s="4"/>
      <c r="T20" s="4"/>
      <c r="U20" s="4"/>
      <c r="V20" s="5"/>
      <c r="W20" s="5"/>
      <c r="X20" s="5"/>
      <c r="Y20" s="5"/>
      <c r="Z20" s="5"/>
    </row>
    <row r="21" ht="13.5" customHeight="1">
      <c r="A21" s="11"/>
      <c r="D21" s="12"/>
      <c r="E21" s="11"/>
      <c r="H21" s="12"/>
      <c r="I21" s="11"/>
      <c r="L21" s="12"/>
      <c r="M21" s="4"/>
      <c r="N21" s="4"/>
      <c r="O21" s="4"/>
      <c r="P21" s="4"/>
      <c r="Q21" s="4"/>
      <c r="R21" s="4"/>
      <c r="S21" s="4"/>
      <c r="T21" s="4"/>
      <c r="U21" s="4"/>
      <c r="V21" s="5"/>
      <c r="W21" s="5"/>
      <c r="X21" s="5"/>
      <c r="Y21" s="5"/>
      <c r="Z21" s="5"/>
    </row>
    <row r="22" ht="13.5" customHeight="1">
      <c r="A22" s="11"/>
      <c r="D22" s="12"/>
      <c r="E22" s="11"/>
      <c r="H22" s="12"/>
      <c r="I22" s="11"/>
      <c r="L22" s="12"/>
      <c r="M22" s="4"/>
      <c r="N22" s="4"/>
      <c r="O22" s="4"/>
      <c r="P22" s="4"/>
      <c r="Q22" s="4"/>
      <c r="R22" s="4"/>
      <c r="S22" s="4"/>
      <c r="T22" s="4"/>
      <c r="U22" s="4"/>
      <c r="V22" s="5"/>
      <c r="W22" s="5"/>
      <c r="X22" s="5"/>
      <c r="Y22" s="5"/>
      <c r="Z22" s="5"/>
    </row>
    <row r="23" ht="13.5" customHeight="1">
      <c r="A23" s="13"/>
      <c r="B23" s="14"/>
      <c r="C23" s="14"/>
      <c r="D23" s="15"/>
      <c r="E23" s="13"/>
      <c r="F23" s="14"/>
      <c r="G23" s="14"/>
      <c r="H23" s="15"/>
      <c r="I23" s="13"/>
      <c r="J23" s="14"/>
      <c r="K23" s="14"/>
      <c r="L23" s="15"/>
      <c r="M23" s="4"/>
      <c r="N23" s="4"/>
      <c r="O23" s="4"/>
      <c r="P23" s="4"/>
      <c r="Q23" s="4"/>
      <c r="R23" s="4"/>
      <c r="S23" s="4"/>
      <c r="T23" s="4"/>
      <c r="U23" s="4"/>
      <c r="V23" s="5"/>
      <c r="W23" s="5"/>
      <c r="X23" s="5"/>
      <c r="Y23" s="5"/>
      <c r="Z23" s="5"/>
    </row>
    <row r="24" ht="21.75" customHeight="1">
      <c r="A24" s="17" t="s">
        <v>26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4"/>
      <c r="N24" s="4"/>
      <c r="O24" s="4"/>
      <c r="P24" s="4"/>
      <c r="Q24" s="4"/>
      <c r="R24" s="4"/>
      <c r="S24" s="4"/>
      <c r="T24" s="4"/>
      <c r="U24" s="4"/>
      <c r="V24" s="5"/>
      <c r="W24" s="5"/>
      <c r="X24" s="5"/>
      <c r="Y24" s="5"/>
      <c r="Z24" s="5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5"/>
      <c r="W25" s="5"/>
      <c r="X25" s="5"/>
      <c r="Y25" s="5"/>
      <c r="Z25" s="5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5"/>
      <c r="Y26" s="5"/>
      <c r="Z26" s="5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  <c r="W27" s="5"/>
      <c r="X27" s="5"/>
      <c r="Y27" s="5"/>
      <c r="Z27" s="5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5"/>
      <c r="X28" s="5"/>
      <c r="Y28" s="5"/>
      <c r="Z28" s="5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5"/>
      <c r="X29" s="5"/>
      <c r="Y29" s="5"/>
      <c r="Z29" s="5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5"/>
      <c r="W30" s="5"/>
      <c r="X30" s="5"/>
      <c r="Y30" s="5"/>
      <c r="Z30" s="5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/>
      <c r="W31" s="5"/>
      <c r="X31" s="5"/>
      <c r="Y31" s="5"/>
      <c r="Z31" s="5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  <c r="W32" s="5"/>
      <c r="X32" s="5"/>
      <c r="Y32" s="5"/>
      <c r="Z32" s="5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5"/>
      <c r="X33" s="5"/>
      <c r="Y33" s="5"/>
      <c r="Z33" s="5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5"/>
      <c r="W34" s="5"/>
      <c r="X34" s="5"/>
      <c r="Y34" s="5"/>
      <c r="Z34" s="5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5"/>
      <c r="W35" s="5"/>
      <c r="X35" s="5"/>
      <c r="Y35" s="5"/>
      <c r="Z35" s="5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5"/>
      <c r="X36" s="5"/>
      <c r="Y36" s="5"/>
      <c r="Z36" s="5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5"/>
      <c r="W37" s="5"/>
      <c r="X37" s="5"/>
      <c r="Y37" s="5"/>
      <c r="Z37" s="5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5"/>
      <c r="X38" s="5"/>
      <c r="Y38" s="5"/>
      <c r="Z38" s="5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5"/>
      <c r="X39" s="5"/>
      <c r="Y39" s="5"/>
      <c r="Z39" s="5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5"/>
      <c r="X40" s="5"/>
      <c r="Y40" s="5"/>
      <c r="Z40" s="5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5"/>
      <c r="X41" s="5"/>
      <c r="Y41" s="5"/>
      <c r="Z41" s="5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5"/>
      <c r="X42" s="5"/>
      <c r="Y42" s="5"/>
      <c r="Z42" s="5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5"/>
      <c r="X43" s="5"/>
      <c r="Y43" s="5"/>
      <c r="Z43" s="5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5"/>
      <c r="X44" s="5"/>
      <c r="Y44" s="5"/>
      <c r="Z44" s="5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5"/>
      <c r="X45" s="5"/>
      <c r="Y45" s="5"/>
      <c r="Z45" s="5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5"/>
      <c r="X46" s="5"/>
      <c r="Y46" s="5"/>
      <c r="Z46" s="5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5"/>
      <c r="X47" s="5"/>
      <c r="Y47" s="5"/>
      <c r="Z47" s="5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5"/>
      <c r="X48" s="5"/>
      <c r="Y48" s="5"/>
      <c r="Z48" s="5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5"/>
      <c r="Y49" s="5"/>
      <c r="Z49" s="5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5"/>
      <c r="Y50" s="5"/>
      <c r="Z50" s="5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5"/>
      <c r="Y51" s="5"/>
      <c r="Z51" s="5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5"/>
      <c r="Y52" s="5"/>
      <c r="Z52" s="5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5"/>
      <c r="Y53" s="5"/>
      <c r="Z53" s="5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5"/>
      <c r="Y54" s="5"/>
      <c r="Z54" s="5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5"/>
      <c r="Y55" s="5"/>
      <c r="Z55" s="5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5"/>
      <c r="Y56" s="5"/>
      <c r="Z56" s="5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5"/>
      <c r="Y57" s="5"/>
      <c r="Z57" s="5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5"/>
      <c r="Y58" s="5"/>
      <c r="Z58" s="5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5"/>
      <c r="X60" s="5"/>
      <c r="Y60" s="5"/>
      <c r="Z60" s="5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  <c r="W61" s="5"/>
      <c r="X61" s="5"/>
      <c r="Y61" s="5"/>
      <c r="Z61" s="5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5"/>
      <c r="X62" s="5"/>
      <c r="Y62" s="5"/>
      <c r="Z62" s="5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5"/>
      <c r="X63" s="5"/>
      <c r="Y63" s="5"/>
      <c r="Z63" s="5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5"/>
      <c r="X64" s="5"/>
      <c r="Y64" s="5"/>
      <c r="Z64" s="5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5"/>
      <c r="X65" s="5"/>
      <c r="Y65" s="5"/>
      <c r="Z65" s="5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5"/>
      <c r="Y66" s="5"/>
      <c r="Z66" s="5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5"/>
      <c r="X67" s="5"/>
      <c r="Y67" s="5"/>
      <c r="Z67" s="5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5"/>
      <c r="Y68" s="5"/>
      <c r="Z68" s="5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5"/>
      <c r="X71" s="5"/>
      <c r="Y71" s="5"/>
      <c r="Z71" s="5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5"/>
      <c r="X72" s="5"/>
      <c r="Y72" s="5"/>
      <c r="Z72" s="5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5"/>
      <c r="X73" s="5"/>
      <c r="Y73" s="5"/>
      <c r="Z73" s="5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5"/>
      <c r="X74" s="5"/>
      <c r="Y74" s="5"/>
      <c r="Z74" s="5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5"/>
      <c r="X75" s="5"/>
      <c r="Y75" s="5"/>
      <c r="Z75" s="5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5"/>
      <c r="X76" s="5"/>
      <c r="Y76" s="5"/>
      <c r="Z76" s="5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5"/>
      <c r="X77" s="5"/>
      <c r="Y77" s="5"/>
      <c r="Z77" s="5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5"/>
      <c r="X78" s="5"/>
      <c r="Y78" s="5"/>
      <c r="Z78" s="5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5"/>
      <c r="X79" s="5"/>
      <c r="Y79" s="5"/>
      <c r="Z79" s="5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5"/>
      <c r="X80" s="5"/>
      <c r="Y80" s="5"/>
      <c r="Z80" s="5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5"/>
      <c r="X81" s="5"/>
      <c r="Y81" s="5"/>
      <c r="Z81" s="5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5"/>
      <c r="X82" s="5"/>
      <c r="Y82" s="5"/>
      <c r="Z82" s="5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5"/>
      <c r="X83" s="5"/>
      <c r="Y83" s="5"/>
      <c r="Z83" s="5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5"/>
      <c r="X84" s="5"/>
      <c r="Y84" s="5"/>
      <c r="Z84" s="5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5"/>
      <c r="X85" s="5"/>
      <c r="Y85" s="5"/>
      <c r="Z85" s="5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5"/>
      <c r="X86" s="5"/>
      <c r="Y86" s="5"/>
      <c r="Z86" s="5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5"/>
      <c r="X87" s="5"/>
      <c r="Y87" s="5"/>
      <c r="Z87" s="5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5"/>
      <c r="X88" s="5"/>
      <c r="Y88" s="5"/>
      <c r="Z88" s="5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5"/>
      <c r="X89" s="5"/>
      <c r="Y89" s="5"/>
      <c r="Z89" s="5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5"/>
      <c r="X90" s="5"/>
      <c r="Y90" s="5"/>
      <c r="Z90" s="5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5"/>
      <c r="X91" s="5"/>
      <c r="Y91" s="5"/>
      <c r="Z91" s="5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5"/>
      <c r="X92" s="5"/>
      <c r="Y92" s="5"/>
      <c r="Z92" s="5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5"/>
      <c r="X93" s="5"/>
      <c r="Y93" s="5"/>
      <c r="Z93" s="5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5"/>
      <c r="X94" s="5"/>
      <c r="Y94" s="5"/>
      <c r="Z94" s="5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5"/>
      <c r="X95" s="5"/>
      <c r="Y95" s="5"/>
      <c r="Z95" s="5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5"/>
      <c r="X96" s="5"/>
      <c r="Y96" s="5"/>
      <c r="Z96" s="5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5"/>
      <c r="X97" s="5"/>
      <c r="Y97" s="5"/>
      <c r="Z97" s="5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5"/>
      <c r="X98" s="5"/>
      <c r="Y98" s="5"/>
      <c r="Z98" s="5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5"/>
      <c r="X99" s="5"/>
      <c r="Y99" s="5"/>
      <c r="Z99" s="5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5"/>
      <c r="X100" s="5"/>
      <c r="Y100" s="5"/>
      <c r="Z100" s="5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5"/>
      <c r="X101" s="5"/>
      <c r="Y101" s="5"/>
      <c r="Z101" s="5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5"/>
      <c r="X102" s="5"/>
      <c r="Y102" s="5"/>
      <c r="Z102" s="5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5"/>
      <c r="X103" s="5"/>
      <c r="Y103" s="5"/>
      <c r="Z103" s="5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5"/>
      <c r="X104" s="5"/>
      <c r="Y104" s="5"/>
      <c r="Z104" s="5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5"/>
      <c r="X105" s="5"/>
      <c r="Y105" s="5"/>
      <c r="Z105" s="5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5"/>
      <c r="X106" s="5"/>
      <c r="Y106" s="5"/>
      <c r="Z106" s="5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5"/>
      <c r="X107" s="5"/>
      <c r="Y107" s="5"/>
      <c r="Z107" s="5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5"/>
      <c r="X108" s="5"/>
      <c r="Y108" s="5"/>
      <c r="Z108" s="5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5"/>
      <c r="X109" s="5"/>
      <c r="Y109" s="5"/>
      <c r="Z109" s="5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5"/>
      <c r="X110" s="5"/>
      <c r="Y110" s="5"/>
      <c r="Z110" s="5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5"/>
      <c r="X111" s="5"/>
      <c r="Y111" s="5"/>
      <c r="Z111" s="5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5"/>
      <c r="X112" s="5"/>
      <c r="Y112" s="5"/>
      <c r="Z112" s="5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5"/>
      <c r="X113" s="5"/>
      <c r="Y113" s="5"/>
      <c r="Z113" s="5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5"/>
      <c r="X114" s="5"/>
      <c r="Y114" s="5"/>
      <c r="Z114" s="5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5"/>
      <c r="X115" s="5"/>
      <c r="Y115" s="5"/>
      <c r="Z115" s="5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5"/>
      <c r="X116" s="5"/>
      <c r="Y116" s="5"/>
      <c r="Z116" s="5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5"/>
      <c r="X117" s="5"/>
      <c r="Y117" s="5"/>
      <c r="Z117" s="5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5"/>
      <c r="X118" s="5"/>
      <c r="Y118" s="5"/>
      <c r="Z118" s="5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5"/>
      <c r="X119" s="5"/>
      <c r="Y119" s="5"/>
      <c r="Z119" s="5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5:D8"/>
    <mergeCell ref="A9:D9"/>
    <mergeCell ref="A10:D13"/>
    <mergeCell ref="A14:D14"/>
    <mergeCell ref="A15:D18"/>
    <mergeCell ref="A19:D19"/>
    <mergeCell ref="A20:D23"/>
    <mergeCell ref="A1:L1"/>
    <mergeCell ref="A2:L2"/>
    <mergeCell ref="A4:D4"/>
    <mergeCell ref="E4:H4"/>
    <mergeCell ref="I4:L4"/>
    <mergeCell ref="E5:H8"/>
    <mergeCell ref="I5:L8"/>
    <mergeCell ref="E15:H18"/>
    <mergeCell ref="E19:H19"/>
    <mergeCell ref="E20:H23"/>
    <mergeCell ref="I19:L19"/>
    <mergeCell ref="I20:L23"/>
    <mergeCell ref="A24:L24"/>
    <mergeCell ref="E9:H9"/>
    <mergeCell ref="I9:L9"/>
    <mergeCell ref="E10:H13"/>
    <mergeCell ref="I10:L13"/>
    <mergeCell ref="E14:H14"/>
    <mergeCell ref="I14:L14"/>
    <mergeCell ref="I15:L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6.0"/>
    <col customWidth="1" min="3" max="3" width="28.88"/>
    <col customWidth="1" min="4" max="5" width="18.0"/>
    <col customWidth="1" min="6" max="6" width="24.0"/>
    <col customWidth="1" min="7" max="7" width="26.0"/>
    <col customWidth="1" min="8" max="8" width="24.0"/>
    <col customWidth="1" min="9" max="9" width="18.0"/>
    <col customWidth="1" min="10" max="10" width="24.0"/>
    <col customWidth="1" hidden="1" min="11" max="26" width="8.63"/>
  </cols>
  <sheetData>
    <row r="1" ht="27.0" customHeight="1">
      <c r="A1" s="18" t="s">
        <v>27</v>
      </c>
      <c r="B1" s="2"/>
      <c r="C1" s="2"/>
      <c r="D1" s="2"/>
      <c r="E1" s="2"/>
      <c r="F1" s="2"/>
      <c r="G1" s="2"/>
      <c r="H1" s="2"/>
      <c r="I1" s="2"/>
      <c r="J1" s="3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  <c r="W1" s="20"/>
      <c r="X1" s="20"/>
      <c r="Y1" s="20"/>
      <c r="Z1" s="20"/>
    </row>
    <row r="2" ht="21.75" customHeight="1">
      <c r="A2" s="21" t="s">
        <v>28</v>
      </c>
      <c r="B2" s="2"/>
      <c r="C2" s="2"/>
      <c r="D2" s="2"/>
      <c r="E2" s="2"/>
      <c r="F2" s="2"/>
      <c r="G2" s="2"/>
      <c r="H2" s="2"/>
      <c r="I2" s="2"/>
      <c r="J2" s="3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20"/>
      <c r="W2" s="20"/>
      <c r="X2" s="20"/>
      <c r="Y2" s="20"/>
      <c r="Z2" s="20"/>
    </row>
    <row r="3" ht="13.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20"/>
      <c r="W3" s="20"/>
      <c r="X3" s="20"/>
      <c r="Y3" s="20"/>
      <c r="Z3" s="20"/>
    </row>
    <row r="4" ht="18.75" customHeight="1">
      <c r="A4" s="22" t="s">
        <v>29</v>
      </c>
      <c r="B4" s="22" t="s">
        <v>30</v>
      </c>
      <c r="C4" s="22" t="s">
        <v>31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20"/>
      <c r="W4" s="20"/>
      <c r="X4" s="20"/>
      <c r="Y4" s="20"/>
      <c r="Z4" s="20"/>
    </row>
    <row r="5" ht="13.5" customHeight="1">
      <c r="A5" s="23" t="s">
        <v>32</v>
      </c>
      <c r="B5" s="24">
        <v>199000.0</v>
      </c>
      <c r="C5" s="23" t="s">
        <v>33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20"/>
      <c r="W5" s="20"/>
      <c r="X5" s="20"/>
      <c r="Y5" s="20"/>
      <c r="Z5" s="20"/>
    </row>
    <row r="6" ht="13.5" customHeight="1">
      <c r="A6" s="23" t="s">
        <v>34</v>
      </c>
      <c r="B6" s="24">
        <v>249000.0</v>
      </c>
      <c r="C6" s="23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0"/>
      <c r="W6" s="20"/>
      <c r="X6" s="20"/>
      <c r="Y6" s="20"/>
      <c r="Z6" s="20"/>
    </row>
    <row r="7" ht="13.5" customHeight="1">
      <c r="A7" s="23" t="s">
        <v>36</v>
      </c>
      <c r="B7" s="24">
        <v>15000.0</v>
      </c>
      <c r="C7" s="23" t="s">
        <v>37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  <c r="W7" s="20"/>
      <c r="X7" s="20"/>
      <c r="Y7" s="20"/>
      <c r="Z7" s="20"/>
    </row>
    <row r="8" ht="13.5" customHeight="1">
      <c r="A8" s="23" t="s">
        <v>38</v>
      </c>
      <c r="B8" s="24">
        <v>60000.0</v>
      </c>
      <c r="C8" s="23" t="s">
        <v>39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0"/>
      <c r="X8" s="20"/>
      <c r="Y8" s="20"/>
      <c r="Z8" s="20"/>
    </row>
    <row r="9" ht="13.5" customHeight="1">
      <c r="A9" s="23" t="s">
        <v>40</v>
      </c>
      <c r="B9" s="24">
        <v>9000.0</v>
      </c>
      <c r="C9" s="23" t="s">
        <v>41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  <c r="W9" s="20"/>
      <c r="X9" s="20"/>
      <c r="Y9" s="20"/>
      <c r="Z9" s="20"/>
    </row>
    <row r="10" ht="13.5" customHeight="1">
      <c r="A10" s="23" t="s">
        <v>42</v>
      </c>
      <c r="B10" s="25">
        <v>45000.0</v>
      </c>
      <c r="C10" s="23" t="s">
        <v>43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0"/>
      <c r="W10" s="20"/>
      <c r="X10" s="20"/>
      <c r="Y10" s="20"/>
      <c r="Z10" s="20"/>
    </row>
    <row r="11" ht="13.5" customHeight="1">
      <c r="A11" s="23" t="s">
        <v>44</v>
      </c>
      <c r="B11" s="24">
        <v>50000.0</v>
      </c>
      <c r="C11" s="23" t="s">
        <v>45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0"/>
      <c r="W11" s="20"/>
      <c r="X11" s="20"/>
      <c r="Y11" s="20"/>
      <c r="Z11" s="20"/>
    </row>
    <row r="12" ht="13.5" customHeight="1">
      <c r="A12" s="23" t="s">
        <v>46</v>
      </c>
      <c r="B12" s="24">
        <v>60000.0</v>
      </c>
      <c r="C12" s="23" t="s">
        <v>47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  <c r="W12" s="20"/>
      <c r="X12" s="20"/>
      <c r="Y12" s="20"/>
      <c r="Z12" s="20"/>
    </row>
    <row r="13" ht="13.5" customHeight="1">
      <c r="A13" s="23" t="s">
        <v>48</v>
      </c>
      <c r="B13" s="26">
        <v>3.0</v>
      </c>
      <c r="C13" s="23" t="s">
        <v>49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20"/>
      <c r="W13" s="20"/>
      <c r="X13" s="20"/>
      <c r="Y13" s="20"/>
      <c r="Z13" s="20"/>
    </row>
    <row r="14" ht="13.5" customHeight="1">
      <c r="A14" s="23" t="s">
        <v>50</v>
      </c>
      <c r="B14" s="27">
        <v>300.0</v>
      </c>
      <c r="C14" s="23" t="s">
        <v>51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20"/>
      <c r="W14" s="20"/>
      <c r="X14" s="20"/>
      <c r="Y14" s="20"/>
      <c r="Z14" s="20"/>
    </row>
    <row r="15" ht="13.5" customHeight="1">
      <c r="A15" s="23" t="s">
        <v>52</v>
      </c>
      <c r="B15" s="27">
        <v>50.0</v>
      </c>
      <c r="C15" s="23" t="s">
        <v>51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20"/>
      <c r="W15" s="20"/>
      <c r="X15" s="20"/>
      <c r="Y15" s="20"/>
      <c r="Z15" s="20"/>
    </row>
    <row r="16" ht="13.5" customHeight="1">
      <c r="A16" s="23" t="s">
        <v>53</v>
      </c>
      <c r="B16" s="26">
        <v>4500.0</v>
      </c>
      <c r="C16" s="23" t="s">
        <v>51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20"/>
      <c r="W16" s="20"/>
      <c r="X16" s="20"/>
      <c r="Y16" s="20"/>
      <c r="Z16" s="20"/>
    </row>
    <row r="17" ht="13.5" customHeight="1">
      <c r="A17" s="23" t="s">
        <v>54</v>
      </c>
      <c r="B17" s="26">
        <v>600.0</v>
      </c>
      <c r="C17" s="23" t="s">
        <v>51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0"/>
      <c r="W17" s="20"/>
      <c r="X17" s="20"/>
      <c r="Y17" s="20"/>
      <c r="Z17" s="20"/>
    </row>
    <row r="18" ht="13.5" customHeight="1">
      <c r="A18" s="23" t="s">
        <v>55</v>
      </c>
      <c r="B18" s="24">
        <f>B14*B5+B15*B6+B16*B7+B17*B8</f>
        <v>175650000</v>
      </c>
      <c r="C18" s="23" t="s">
        <v>56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  <c r="W18" s="20"/>
      <c r="X18" s="20"/>
      <c r="Y18" s="20"/>
      <c r="Z18" s="20"/>
    </row>
    <row r="19" ht="13.5" customHeight="1">
      <c r="A19" s="23" t="s">
        <v>57</v>
      </c>
      <c r="B19" s="28">
        <v>0.9</v>
      </c>
      <c r="C19" s="23" t="s">
        <v>58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  <c r="W19" s="20"/>
      <c r="X19" s="20"/>
      <c r="Y19" s="20"/>
      <c r="Z19" s="20"/>
    </row>
    <row r="20" ht="13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  <c r="W20" s="20"/>
      <c r="X20" s="20"/>
      <c r="Y20" s="20"/>
      <c r="Z20" s="20"/>
    </row>
    <row r="21" ht="13.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20"/>
      <c r="W21" s="20"/>
      <c r="X21" s="20"/>
      <c r="Y21" s="20"/>
      <c r="Z21" s="20"/>
    </row>
    <row r="22" ht="18.75" customHeight="1">
      <c r="A22" s="22" t="s">
        <v>59</v>
      </c>
      <c r="B22" s="22" t="s">
        <v>60</v>
      </c>
      <c r="C22" s="22" t="s">
        <v>61</v>
      </c>
      <c r="D22" s="22" t="s">
        <v>62</v>
      </c>
      <c r="E22" s="22" t="s">
        <v>63</v>
      </c>
      <c r="F22" s="22" t="s">
        <v>64</v>
      </c>
      <c r="G22" s="22" t="s">
        <v>65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  <c r="W22" s="20"/>
      <c r="X22" s="20"/>
      <c r="Y22" s="20"/>
      <c r="Z22" s="20"/>
    </row>
    <row r="23" ht="13.5" customHeight="1">
      <c r="A23" s="23" t="s">
        <v>66</v>
      </c>
      <c r="B23" s="24">
        <v>199000.0</v>
      </c>
      <c r="C23" s="23" t="s">
        <v>67</v>
      </c>
      <c r="D23" s="23" t="s">
        <v>68</v>
      </c>
      <c r="E23" s="23" t="s">
        <v>69</v>
      </c>
      <c r="F23" s="23" t="s">
        <v>70</v>
      </c>
      <c r="G23" s="23" t="s">
        <v>71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  <c r="W23" s="20"/>
      <c r="X23" s="20"/>
      <c r="Y23" s="20"/>
      <c r="Z23" s="20"/>
    </row>
    <row r="24" ht="13.5" customHeight="1">
      <c r="A24" s="23" t="s">
        <v>72</v>
      </c>
      <c r="B24" s="24">
        <v>249000.0</v>
      </c>
      <c r="C24" s="23" t="s">
        <v>73</v>
      </c>
      <c r="D24" s="23" t="s">
        <v>74</v>
      </c>
      <c r="E24" s="23" t="s">
        <v>75</v>
      </c>
      <c r="F24" s="23" t="s">
        <v>76</v>
      </c>
      <c r="G24" s="23" t="s">
        <v>77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  <c r="W24" s="20"/>
      <c r="X24" s="20"/>
      <c r="Y24" s="20"/>
      <c r="Z24" s="20"/>
    </row>
    <row r="25" ht="13.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  <c r="W25" s="20"/>
      <c r="X25" s="20"/>
      <c r="Y25" s="20"/>
      <c r="Z25" s="20"/>
    </row>
    <row r="26" ht="13.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  <c r="W26" s="20"/>
      <c r="X26" s="20"/>
      <c r="Y26" s="20"/>
      <c r="Z26" s="20"/>
    </row>
    <row r="27" ht="13.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  <c r="W27" s="20"/>
      <c r="X27" s="20"/>
      <c r="Y27" s="20"/>
      <c r="Z27" s="20"/>
    </row>
    <row r="28">
      <c r="A28" s="22" t="s">
        <v>78</v>
      </c>
      <c r="B28" s="22" t="s">
        <v>79</v>
      </c>
      <c r="C28" s="22" t="s">
        <v>80</v>
      </c>
      <c r="D28" s="22" t="s">
        <v>81</v>
      </c>
      <c r="E28" s="22" t="s">
        <v>82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  <c r="W28" s="20"/>
      <c r="X28" s="20"/>
      <c r="Y28" s="20"/>
      <c r="Z28" s="20"/>
    </row>
    <row r="29" ht="13.5" customHeight="1">
      <c r="A29" s="23" t="s">
        <v>83</v>
      </c>
      <c r="B29" s="23" t="s">
        <v>84</v>
      </c>
      <c r="C29" s="23" t="s">
        <v>85</v>
      </c>
      <c r="D29" s="23" t="s">
        <v>86</v>
      </c>
      <c r="E29" s="23" t="s">
        <v>87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  <c r="W29" s="20"/>
      <c r="X29" s="20"/>
      <c r="Y29" s="20"/>
      <c r="Z29" s="20"/>
    </row>
    <row r="30" ht="13.5" customHeight="1">
      <c r="A30" s="23" t="s">
        <v>88</v>
      </c>
      <c r="B30" s="23" t="s">
        <v>89</v>
      </c>
      <c r="C30" s="23" t="s">
        <v>90</v>
      </c>
      <c r="D30" s="23" t="s">
        <v>91</v>
      </c>
      <c r="E30" s="23" t="s">
        <v>92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  <c r="W30" s="20"/>
      <c r="X30" s="20"/>
      <c r="Y30" s="20"/>
      <c r="Z30" s="20"/>
    </row>
    <row r="31" ht="13.5" customHeight="1">
      <c r="A31" s="23" t="s">
        <v>93</v>
      </c>
      <c r="B31" s="23" t="s">
        <v>94</v>
      </c>
      <c r="C31" s="23" t="s">
        <v>95</v>
      </c>
      <c r="D31" s="23" t="s">
        <v>96</v>
      </c>
      <c r="E31" s="23" t="s">
        <v>97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  <c r="W31" s="20"/>
      <c r="X31" s="20"/>
      <c r="Y31" s="20"/>
      <c r="Z31" s="20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  <c r="W32" s="20"/>
      <c r="X32" s="20"/>
      <c r="Y32" s="20"/>
      <c r="Z32" s="20"/>
    </row>
    <row r="33" ht="13.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20"/>
      <c r="X33" s="20"/>
      <c r="Y33" s="20"/>
      <c r="Z33" s="20"/>
    </row>
    <row r="34" ht="13.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  <c r="W34" s="20"/>
      <c r="X34" s="20"/>
      <c r="Y34" s="20"/>
      <c r="Z34" s="20"/>
    </row>
    <row r="35" ht="18.75" customHeight="1">
      <c r="A35" s="22" t="s">
        <v>98</v>
      </c>
      <c r="B35" s="22" t="s">
        <v>99</v>
      </c>
      <c r="C35" s="22" t="s">
        <v>100</v>
      </c>
      <c r="D35" s="22" t="s">
        <v>101</v>
      </c>
      <c r="E35" s="22" t="s">
        <v>102</v>
      </c>
      <c r="F35" s="22" t="s">
        <v>103</v>
      </c>
      <c r="G35" s="22" t="s">
        <v>104</v>
      </c>
      <c r="H35" s="22" t="s">
        <v>31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20"/>
      <c r="X35" s="20"/>
      <c r="Y35" s="20"/>
      <c r="Z35" s="20"/>
    </row>
    <row r="36" ht="13.5" customHeight="1">
      <c r="A36" s="23" t="s">
        <v>105</v>
      </c>
      <c r="B36" s="24">
        <f>$B$7</f>
        <v>15000</v>
      </c>
      <c r="C36" s="24">
        <f>$B$9</f>
        <v>9000</v>
      </c>
      <c r="D36" s="24">
        <f t="shared" ref="D36:D39" si="1">B36-C36</f>
        <v>6000</v>
      </c>
      <c r="E36" s="28">
        <f t="shared" ref="E36:E39" si="2">IFERROR(D36/B36,0)</f>
        <v>0.4</v>
      </c>
      <c r="F36" s="24">
        <v>0.0</v>
      </c>
      <c r="G36" s="24">
        <f t="shared" ref="G36:G39" si="3">D36-F36</f>
        <v>6000</v>
      </c>
      <c r="H36" s="23" t="s">
        <v>106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  <c r="W36" s="20"/>
      <c r="X36" s="20"/>
      <c r="Y36" s="20"/>
      <c r="Z36" s="20"/>
    </row>
    <row r="37" ht="13.5" customHeight="1">
      <c r="A37" s="23" t="s">
        <v>107</v>
      </c>
      <c r="B37" s="24">
        <f>$B$8</f>
        <v>60000</v>
      </c>
      <c r="C37" s="24">
        <f>$B$10</f>
        <v>45000</v>
      </c>
      <c r="D37" s="24">
        <f t="shared" si="1"/>
        <v>15000</v>
      </c>
      <c r="E37" s="28">
        <f t="shared" si="2"/>
        <v>0.25</v>
      </c>
      <c r="F37" s="24">
        <v>0.0</v>
      </c>
      <c r="G37" s="24">
        <f t="shared" si="3"/>
        <v>15000</v>
      </c>
      <c r="H37" s="23" t="s">
        <v>108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  <c r="W37" s="20"/>
      <c r="X37" s="20"/>
      <c r="Y37" s="20"/>
      <c r="Z37" s="20"/>
    </row>
    <row r="38" ht="13.5" customHeight="1">
      <c r="A38" s="23" t="s">
        <v>66</v>
      </c>
      <c r="B38" s="24">
        <f>$B$5</f>
        <v>199000</v>
      </c>
      <c r="C38" s="24">
        <v>0.0</v>
      </c>
      <c r="D38" s="24">
        <f t="shared" si="1"/>
        <v>199000</v>
      </c>
      <c r="E38" s="28">
        <f t="shared" si="2"/>
        <v>1</v>
      </c>
      <c r="F38" s="24">
        <f>$B$11</f>
        <v>50000</v>
      </c>
      <c r="G38" s="24">
        <f t="shared" si="3"/>
        <v>149000</v>
      </c>
      <c r="H38" s="23" t="s">
        <v>109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  <c r="W38" s="20"/>
      <c r="X38" s="20"/>
      <c r="Y38" s="20"/>
      <c r="Z38" s="20"/>
    </row>
    <row r="39" ht="13.5" customHeight="1">
      <c r="A39" s="23" t="s">
        <v>72</v>
      </c>
      <c r="B39" s="24">
        <f>$B$6</f>
        <v>249000</v>
      </c>
      <c r="C39" s="24">
        <v>0.0</v>
      </c>
      <c r="D39" s="24">
        <f t="shared" si="1"/>
        <v>249000</v>
      </c>
      <c r="E39" s="28">
        <f t="shared" si="2"/>
        <v>1</v>
      </c>
      <c r="F39" s="24">
        <f>$B$12</f>
        <v>60000</v>
      </c>
      <c r="G39" s="24">
        <f t="shared" si="3"/>
        <v>189000</v>
      </c>
      <c r="H39" s="23" t="s">
        <v>110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  <c r="W39" s="20"/>
      <c r="X39" s="20"/>
      <c r="Y39" s="20"/>
      <c r="Z39" s="20"/>
    </row>
    <row r="40" ht="13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  <c r="W40" s="20"/>
      <c r="X40" s="20"/>
      <c r="Y40" s="20"/>
      <c r="Z40" s="20"/>
    </row>
    <row r="41" ht="13.5" customHeight="1">
      <c r="A41" s="29" t="s">
        <v>111</v>
      </c>
      <c r="B41" s="9"/>
      <c r="C41" s="9"/>
      <c r="D41" s="9"/>
      <c r="E41" s="9"/>
      <c r="F41" s="9"/>
      <c r="G41" s="9"/>
      <c r="H41" s="9"/>
      <c r="I41" s="9"/>
      <c r="J41" s="1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  <c r="W41" s="20"/>
      <c r="X41" s="20"/>
      <c r="Y41" s="20"/>
      <c r="Z41" s="20"/>
    </row>
    <row r="42" ht="13.5" customHeight="1">
      <c r="A42" s="11"/>
      <c r="J42" s="12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  <c r="W42" s="20"/>
      <c r="X42" s="20"/>
      <c r="Y42" s="20"/>
      <c r="Z42" s="20"/>
    </row>
    <row r="43" ht="13.5" customHeight="1">
      <c r="A43" s="11"/>
      <c r="J43" s="12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  <c r="W43" s="20"/>
      <c r="X43" s="20"/>
      <c r="Y43" s="20"/>
      <c r="Z43" s="20"/>
    </row>
    <row r="44" ht="13.5" customHeight="1">
      <c r="A44" s="13"/>
      <c r="B44" s="14"/>
      <c r="C44" s="14"/>
      <c r="D44" s="14"/>
      <c r="E44" s="14"/>
      <c r="F44" s="14"/>
      <c r="G44" s="14"/>
      <c r="H44" s="14"/>
      <c r="I44" s="14"/>
      <c r="J44" s="15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  <c r="W44" s="20"/>
      <c r="X44" s="20"/>
      <c r="Y44" s="20"/>
      <c r="Z44" s="20"/>
    </row>
    <row r="45" ht="13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  <c r="W45" s="20"/>
      <c r="X45" s="20"/>
      <c r="Y45" s="20"/>
      <c r="Z45" s="20"/>
    </row>
    <row r="46" ht="13.5" hidden="1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20"/>
      <c r="W46" s="20"/>
      <c r="X46" s="20"/>
      <c r="Y46" s="20"/>
      <c r="Z46" s="20"/>
    </row>
    <row r="47" ht="13.5" hidden="1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  <c r="W47" s="20"/>
      <c r="X47" s="20"/>
      <c r="Y47" s="20"/>
      <c r="Z47" s="20"/>
    </row>
    <row r="48" ht="13.5" hidden="1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  <c r="W48" s="20"/>
      <c r="X48" s="20"/>
      <c r="Y48" s="20"/>
      <c r="Z48" s="20"/>
    </row>
    <row r="49" ht="13.5" hidden="1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  <c r="W49" s="20"/>
      <c r="X49" s="20"/>
      <c r="Y49" s="20"/>
      <c r="Z49" s="20"/>
    </row>
    <row r="50" ht="13.5" hidden="1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  <c r="W50" s="20"/>
      <c r="X50" s="20"/>
      <c r="Y50" s="20"/>
      <c r="Z50" s="20"/>
    </row>
    <row r="51" ht="13.5" hidden="1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0"/>
      <c r="W51" s="20"/>
      <c r="X51" s="20"/>
      <c r="Y51" s="20"/>
      <c r="Z51" s="20"/>
    </row>
    <row r="52" ht="13.5" hidden="1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  <c r="W52" s="20"/>
      <c r="X52" s="20"/>
      <c r="Y52" s="20"/>
      <c r="Z52" s="20"/>
    </row>
    <row r="53" ht="13.5" hidden="1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20"/>
      <c r="Z53" s="20"/>
    </row>
    <row r="54" ht="13.5" hidden="1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  <c r="W54" s="20"/>
      <c r="X54" s="20"/>
      <c r="Y54" s="20"/>
      <c r="Z54" s="20"/>
    </row>
    <row r="55" ht="13.5" hidden="1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20"/>
      <c r="W55" s="20"/>
      <c r="X55" s="20"/>
      <c r="Y55" s="20"/>
      <c r="Z55" s="20"/>
    </row>
    <row r="56" ht="13.5" hidden="1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  <c r="W56" s="20"/>
      <c r="X56" s="20"/>
      <c r="Y56" s="20"/>
      <c r="Z56" s="20"/>
    </row>
    <row r="57" ht="13.5" hidden="1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  <c r="W57" s="20"/>
      <c r="X57" s="20"/>
      <c r="Y57" s="20"/>
      <c r="Z57" s="20"/>
    </row>
    <row r="58" ht="13.5" hidden="1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20"/>
      <c r="W58" s="20"/>
      <c r="X58" s="20"/>
      <c r="Y58" s="20"/>
      <c r="Z58" s="20"/>
    </row>
    <row r="59" ht="13.5" hidden="1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20"/>
      <c r="W59" s="20"/>
      <c r="X59" s="20"/>
      <c r="Y59" s="20"/>
      <c r="Z59" s="20"/>
    </row>
    <row r="60" ht="13.5" hidden="1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20"/>
      <c r="W60" s="20"/>
      <c r="X60" s="20"/>
      <c r="Y60" s="20"/>
      <c r="Z60" s="20"/>
    </row>
    <row r="61" ht="13.5" hidden="1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20"/>
      <c r="W61" s="20"/>
      <c r="X61" s="20"/>
      <c r="Y61" s="20"/>
      <c r="Z61" s="20"/>
    </row>
    <row r="62" ht="13.5" hidden="1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20"/>
      <c r="W62" s="20"/>
      <c r="X62" s="20"/>
      <c r="Y62" s="20"/>
      <c r="Z62" s="20"/>
    </row>
    <row r="63" ht="13.5" hidden="1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20"/>
      <c r="Z63" s="20"/>
    </row>
    <row r="64" ht="13.5" hidden="1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20"/>
      <c r="W64" s="20"/>
      <c r="X64" s="20"/>
      <c r="Y64" s="20"/>
      <c r="Z64" s="20"/>
    </row>
    <row r="65" ht="13.5" hidden="1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20"/>
      <c r="W65" s="20"/>
      <c r="X65" s="20"/>
      <c r="Y65" s="20"/>
      <c r="Z65" s="20"/>
    </row>
    <row r="66" ht="13.5" hidden="1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20"/>
      <c r="W66" s="20"/>
      <c r="X66" s="20"/>
      <c r="Y66" s="20"/>
      <c r="Z66" s="20"/>
    </row>
    <row r="67" ht="13.5" hidden="1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20"/>
      <c r="W67" s="20"/>
      <c r="X67" s="20"/>
      <c r="Y67" s="20"/>
      <c r="Z67" s="20"/>
    </row>
    <row r="68" ht="13.5" hidden="1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20"/>
      <c r="W68" s="20"/>
      <c r="X68" s="20"/>
      <c r="Y68" s="20"/>
      <c r="Z68" s="20"/>
    </row>
    <row r="69" ht="13.5" hidden="1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20"/>
      <c r="W69" s="20"/>
      <c r="X69" s="20"/>
      <c r="Y69" s="20"/>
      <c r="Z69" s="20"/>
    </row>
    <row r="70" ht="13.5" hidden="1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20"/>
      <c r="W70" s="20"/>
      <c r="X70" s="20"/>
      <c r="Y70" s="20"/>
      <c r="Z70" s="20"/>
    </row>
    <row r="71" ht="13.5" hidden="1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20"/>
      <c r="W71" s="20"/>
      <c r="X71" s="20"/>
      <c r="Y71" s="20"/>
      <c r="Z71" s="20"/>
    </row>
    <row r="72" ht="13.5" hidden="1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0"/>
      <c r="W72" s="20"/>
      <c r="X72" s="20"/>
      <c r="Y72" s="20"/>
      <c r="Z72" s="20"/>
    </row>
    <row r="73" ht="13.5" hidden="1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20"/>
      <c r="W73" s="20"/>
      <c r="X73" s="20"/>
      <c r="Y73" s="20"/>
      <c r="Z73" s="20"/>
    </row>
    <row r="74" ht="13.5" hidden="1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20"/>
      <c r="W74" s="20"/>
      <c r="X74" s="20"/>
      <c r="Y74" s="20"/>
      <c r="Z74" s="20"/>
    </row>
    <row r="75" ht="13.5" hidden="1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20"/>
      <c r="W75" s="20"/>
      <c r="X75" s="20"/>
      <c r="Y75" s="20"/>
      <c r="Z75" s="20"/>
    </row>
    <row r="76" ht="13.5" hidden="1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20"/>
      <c r="W76" s="20"/>
      <c r="X76" s="20"/>
      <c r="Y76" s="20"/>
      <c r="Z76" s="20"/>
    </row>
    <row r="77" ht="13.5" hidden="1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20"/>
      <c r="W77" s="20"/>
      <c r="X77" s="20"/>
      <c r="Y77" s="20"/>
      <c r="Z77" s="20"/>
    </row>
    <row r="78" ht="13.5" hidden="1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20"/>
      <c r="W78" s="20"/>
      <c r="X78" s="20"/>
      <c r="Y78" s="20"/>
      <c r="Z78" s="20"/>
    </row>
    <row r="79" ht="13.5" hidden="1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20"/>
      <c r="W79" s="20"/>
      <c r="X79" s="20"/>
      <c r="Y79" s="20"/>
      <c r="Z79" s="20"/>
    </row>
    <row r="80" ht="13.5" hidden="1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20"/>
      <c r="W80" s="20"/>
      <c r="X80" s="20"/>
      <c r="Y80" s="20"/>
      <c r="Z80" s="20"/>
    </row>
    <row r="81" ht="13.5" hidden="1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20"/>
      <c r="W81" s="20"/>
      <c r="X81" s="20"/>
      <c r="Y81" s="20"/>
      <c r="Z81" s="20"/>
    </row>
    <row r="82" ht="13.5" hidden="1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20"/>
      <c r="W82" s="20"/>
      <c r="X82" s="20"/>
      <c r="Y82" s="20"/>
      <c r="Z82" s="20"/>
    </row>
    <row r="83" ht="13.5" hidden="1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20"/>
      <c r="W83" s="20"/>
      <c r="X83" s="20"/>
      <c r="Y83" s="20"/>
      <c r="Z83" s="20"/>
    </row>
    <row r="84" ht="13.5" hidden="1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20"/>
      <c r="W84" s="20"/>
      <c r="X84" s="20"/>
      <c r="Y84" s="20"/>
      <c r="Z84" s="20"/>
    </row>
    <row r="85" ht="13.5" hidden="1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20"/>
      <c r="W85" s="20"/>
      <c r="X85" s="20"/>
      <c r="Y85" s="20"/>
      <c r="Z85" s="20"/>
    </row>
    <row r="86" ht="13.5" hidden="1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20"/>
      <c r="W86" s="20"/>
      <c r="X86" s="20"/>
      <c r="Y86" s="20"/>
      <c r="Z86" s="20"/>
    </row>
    <row r="87" ht="13.5" hidden="1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20"/>
      <c r="W87" s="20"/>
      <c r="X87" s="20"/>
      <c r="Y87" s="20"/>
      <c r="Z87" s="20"/>
    </row>
    <row r="88" ht="13.5" hidden="1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20"/>
      <c r="W88" s="20"/>
      <c r="X88" s="20"/>
      <c r="Y88" s="20"/>
      <c r="Z88" s="20"/>
    </row>
    <row r="89" ht="13.5" hidden="1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20"/>
      <c r="W89" s="20"/>
      <c r="X89" s="20"/>
      <c r="Y89" s="20"/>
      <c r="Z89" s="20"/>
    </row>
    <row r="90" ht="13.5" hidden="1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20"/>
      <c r="W90" s="20"/>
      <c r="X90" s="20"/>
      <c r="Y90" s="20"/>
      <c r="Z90" s="20"/>
    </row>
    <row r="91" ht="13.5" hidden="1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20"/>
      <c r="W91" s="20"/>
      <c r="X91" s="20"/>
      <c r="Y91" s="20"/>
      <c r="Z91" s="20"/>
    </row>
    <row r="92" ht="13.5" hidden="1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20"/>
      <c r="W92" s="20"/>
      <c r="X92" s="20"/>
      <c r="Y92" s="20"/>
      <c r="Z92" s="20"/>
    </row>
    <row r="93" ht="13.5" hidden="1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20"/>
      <c r="W93" s="20"/>
      <c r="X93" s="20"/>
      <c r="Y93" s="20"/>
      <c r="Z93" s="20"/>
    </row>
    <row r="94" ht="13.5" hidden="1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20"/>
      <c r="W94" s="20"/>
      <c r="X94" s="20"/>
      <c r="Y94" s="20"/>
      <c r="Z94" s="20"/>
    </row>
    <row r="95" ht="13.5" hidden="1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20"/>
      <c r="W95" s="20"/>
      <c r="X95" s="20"/>
      <c r="Y95" s="20"/>
      <c r="Z95" s="20"/>
    </row>
    <row r="96" ht="13.5" hidden="1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20"/>
      <c r="W96" s="20"/>
      <c r="X96" s="20"/>
      <c r="Y96" s="20"/>
      <c r="Z96" s="20"/>
    </row>
    <row r="97" ht="13.5" hidden="1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20"/>
      <c r="W97" s="20"/>
      <c r="X97" s="20"/>
      <c r="Y97" s="20"/>
      <c r="Z97" s="20"/>
    </row>
    <row r="98" ht="13.5" hidden="1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20"/>
      <c r="W98" s="20"/>
      <c r="X98" s="20"/>
      <c r="Y98" s="20"/>
      <c r="Z98" s="20"/>
    </row>
    <row r="99" ht="13.5" hidden="1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20"/>
      <c r="W99" s="20"/>
      <c r="X99" s="20"/>
      <c r="Y99" s="20"/>
      <c r="Z99" s="20"/>
    </row>
    <row r="100" ht="13.5" hidden="1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20"/>
      <c r="W100" s="20"/>
      <c r="X100" s="20"/>
      <c r="Y100" s="20"/>
      <c r="Z100" s="20"/>
    </row>
    <row r="101" ht="13.5" hidden="1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20"/>
      <c r="W101" s="20"/>
      <c r="X101" s="20"/>
      <c r="Y101" s="20"/>
      <c r="Z101" s="20"/>
    </row>
    <row r="102" ht="13.5" hidden="1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20"/>
      <c r="W102" s="20"/>
      <c r="X102" s="20"/>
      <c r="Y102" s="20"/>
      <c r="Z102" s="20"/>
    </row>
    <row r="103" ht="13.5" hidden="1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20"/>
      <c r="W103" s="20"/>
      <c r="X103" s="20"/>
      <c r="Y103" s="20"/>
      <c r="Z103" s="20"/>
    </row>
    <row r="104" ht="13.5" hidden="1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20"/>
      <c r="W104" s="20"/>
      <c r="X104" s="20"/>
      <c r="Y104" s="20"/>
      <c r="Z104" s="20"/>
    </row>
    <row r="105" ht="13.5" hidden="1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20"/>
      <c r="W105" s="20"/>
      <c r="X105" s="20"/>
      <c r="Y105" s="20"/>
      <c r="Z105" s="20"/>
    </row>
    <row r="106" ht="13.5" hidden="1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20"/>
      <c r="W106" s="20"/>
      <c r="X106" s="20"/>
      <c r="Y106" s="20"/>
      <c r="Z106" s="20"/>
    </row>
    <row r="107" ht="13.5" hidden="1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20"/>
      <c r="W107" s="20"/>
      <c r="X107" s="20"/>
      <c r="Y107" s="20"/>
      <c r="Z107" s="20"/>
    </row>
    <row r="108" ht="13.5" hidden="1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20"/>
      <c r="W108" s="20"/>
      <c r="X108" s="20"/>
      <c r="Y108" s="20"/>
      <c r="Z108" s="20"/>
    </row>
    <row r="109" ht="13.5" hidden="1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20"/>
      <c r="W109" s="20"/>
      <c r="X109" s="20"/>
      <c r="Y109" s="20"/>
      <c r="Z109" s="20"/>
    </row>
    <row r="110" ht="13.5" hidden="1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20"/>
      <c r="W110" s="20"/>
      <c r="X110" s="20"/>
      <c r="Y110" s="20"/>
      <c r="Z110" s="20"/>
    </row>
    <row r="111" ht="13.5" hidden="1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20"/>
      <c r="W111" s="20"/>
      <c r="X111" s="20"/>
      <c r="Y111" s="20"/>
      <c r="Z111" s="20"/>
    </row>
    <row r="112" ht="13.5" hidden="1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20"/>
      <c r="W112" s="20"/>
      <c r="X112" s="20"/>
      <c r="Y112" s="20"/>
      <c r="Z112" s="20"/>
    </row>
    <row r="113" ht="13.5" hidden="1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20"/>
      <c r="W113" s="20"/>
      <c r="X113" s="20"/>
      <c r="Y113" s="20"/>
      <c r="Z113" s="20"/>
    </row>
    <row r="114" ht="13.5" hidden="1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20"/>
      <c r="W114" s="20"/>
      <c r="X114" s="20"/>
      <c r="Y114" s="20"/>
      <c r="Z114" s="20"/>
    </row>
    <row r="115" ht="13.5" hidden="1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20"/>
      <c r="W115" s="20"/>
      <c r="X115" s="20"/>
      <c r="Y115" s="20"/>
      <c r="Z115" s="20"/>
    </row>
    <row r="116" ht="13.5" hidden="1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20"/>
      <c r="W116" s="20"/>
      <c r="X116" s="20"/>
      <c r="Y116" s="20"/>
      <c r="Z116" s="20"/>
    </row>
    <row r="117" ht="13.5" hidden="1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20"/>
      <c r="W117" s="20"/>
      <c r="X117" s="20"/>
      <c r="Y117" s="20"/>
      <c r="Z117" s="20"/>
    </row>
    <row r="118" ht="13.5" hidden="1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20"/>
      <c r="W118" s="20"/>
      <c r="X118" s="20"/>
      <c r="Y118" s="20"/>
      <c r="Z118" s="20"/>
    </row>
    <row r="119" ht="13.5" hidden="1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20"/>
      <c r="W119" s="20"/>
      <c r="X119" s="20"/>
      <c r="Y119" s="20"/>
      <c r="Z119" s="20"/>
    </row>
    <row r="120" ht="13.5" hidden="1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20"/>
      <c r="W120" s="20"/>
      <c r="X120" s="20"/>
      <c r="Y120" s="20"/>
      <c r="Z120" s="20"/>
    </row>
    <row r="121" ht="13.5" hidden="1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3.5" hidden="1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3.5" hidden="1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3.5" hidden="1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3.5" hidden="1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3.5" hidden="1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3.5" hidden="1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3.5" hidden="1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3.5" hidden="1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3.5" hidden="1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3.5" hidden="1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3.5" hidden="1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3.5" hidden="1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3.5" hidden="1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3.5" hidden="1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3.5" hidden="1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3.5" hidden="1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3.5" hidden="1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3.5" hidden="1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3.5" hidden="1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3.5" hidden="1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3.5" hidden="1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3.5" hidden="1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3.5" hidden="1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3.5" hidden="1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3.5" hidden="1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3.5" hidden="1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3.5" hidden="1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3.5" hidden="1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3.5" hidden="1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3.5" hidden="1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3.5" hidden="1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3.5" hidden="1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3.5" hidden="1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3.5" hidden="1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3.5" hidden="1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3.5" hidden="1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3.5" hidden="1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3.5" hidden="1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3.5" hidden="1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3.5" hidden="1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3.5" hidden="1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3.5" hidden="1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3.5" hidden="1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3.5" hidden="1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3.5" hidden="1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3.5" hidden="1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3.5" hidden="1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3.5" hidden="1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3.5" hidden="1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3.5" hidden="1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3.5" hidden="1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3.5" hidden="1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3.5" hidden="1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3.5" hidden="1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3.5" hidden="1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3.5" hidden="1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3.5" hidden="1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3.5" hidden="1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3.5" hidden="1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3.5" hidden="1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3.5" hidden="1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3.5" hidden="1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3.5" hidden="1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3.5" hidden="1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3.5" hidden="1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3.5" hidden="1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3.5" hidden="1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3.5" hidden="1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3.5" hidden="1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3.5" hidden="1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3.5" hidden="1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3.5" hidden="1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3.5" hidden="1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3.5" hidden="1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3.5" hidden="1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3.5" hidden="1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3.5" hidden="1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3.5" hidden="1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3.5" hidden="1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3.5" hidden="1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3.5" hidden="1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3.5" hidden="1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3.5" hidden="1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3.5" hidden="1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3.5" hidden="1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3.5" hidden="1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3.5" hidden="1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3.5" hidden="1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3.5" hidden="1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3.5" hidden="1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3.5" hidden="1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3.5" hidden="1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3.5" hidden="1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3.5" hidden="1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3.5" hidden="1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3.5" hidden="1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3.5" hidden="1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3.5" hidden="1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3.5" hidden="1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3.5" hidden="1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3.5" hidden="1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3.5" hidden="1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3.5" hidden="1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3.5" hidden="1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3.5" hidden="1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3.5" hidden="1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3.5" hidden="1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3.5" hidden="1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3.5" hidden="1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3.5" hidden="1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3.5" hidden="1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3.5" hidden="1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3.5" hidden="1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3.5" hidden="1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3.5" hidden="1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3.5" hidden="1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3.5" hidden="1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3.5" hidden="1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3.5" hidden="1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3.5" hidden="1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3.5" hidden="1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3.5" hidden="1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3.5" hidden="1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3.5" hidden="1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3.5" hidden="1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3.5" hidden="1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3.5" hidden="1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3.5" hidden="1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3.5" hidden="1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3.5" hidden="1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3.5" hidden="1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3.5" hidden="1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3.5" hidden="1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3.5" hidden="1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3.5" hidden="1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3.5" hidden="1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3.5" hidden="1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3.5" hidden="1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3.5" hidden="1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3.5" hidden="1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3.5" hidden="1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3.5" hidden="1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3.5" hidden="1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3.5" hidden="1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3.5" hidden="1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3.5" hidden="1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3.5" hidden="1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3.5" hidden="1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3.5" hidden="1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3.5" hidden="1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3.5" hidden="1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3.5" hidden="1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3.5" hidden="1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3.5" hidden="1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3.5" hidden="1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3.5" hidden="1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3.5" hidden="1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3.5" hidden="1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3.5" hidden="1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3.5" hidden="1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3.5" hidden="1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3.5" hidden="1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3.5" hidden="1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3.5" hidden="1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3.5" hidden="1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3.5" hidden="1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3.5" hidden="1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3.5" hidden="1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3.5" hidden="1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3.5" hidden="1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3.5" hidden="1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3.5" hidden="1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3.5" hidden="1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3.5" hidden="1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3.5" hidden="1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3.5" hidden="1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3.5" hidden="1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3.5" hidden="1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3.5" hidden="1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3.5" hidden="1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3.5" hidden="1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3.5" hidden="1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3.5" hidden="1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3.5" hidden="1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3.5" hidden="1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3.5" hidden="1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3.5" hidden="1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3.5" hidden="1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3.5" hidden="1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3.5" hidden="1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3.5" hidden="1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3.5" hidden="1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3.5" hidden="1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3.5" hidden="1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3.5" hidden="1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3.5" hidden="1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3.5" hidden="1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3.5" hidden="1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3.5" hidden="1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3.5" hidden="1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3.5" hidden="1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3.5" hidden="1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3.5" hidden="1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3.5" hidden="1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3.5" hidden="1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3.5" hidden="1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3.5" hidden="1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3.5" hidden="1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3.5" hidden="1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3.5" hidden="1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3.5" hidden="1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3.5" hidden="1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3.5" hidden="1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3.5" hidden="1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3.5" hidden="1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3.5" hidden="1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3.5" hidden="1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3.5" hidden="1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3.5" hidden="1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3.5" hidden="1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3.5" hidden="1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3.5" hidden="1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3.5" hidden="1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3.5" hidden="1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3.5" hidden="1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3.5" hidden="1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3.5" hidden="1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3.5" hidden="1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3.5" hidden="1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3.5" hidden="1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3.5" hidden="1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3.5" hidden="1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3.5" hidden="1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3.5" hidden="1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3.5" hidden="1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3.5" hidden="1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3.5" hidden="1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3.5" hidden="1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3.5" hidden="1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3.5" hidden="1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3.5" hidden="1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3.5" hidden="1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3.5" hidden="1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3.5" hidden="1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3.5" hidden="1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3.5" hidden="1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3.5" hidden="1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3.5" hidden="1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3.5" hidden="1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3.5" hidden="1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3.5" hidden="1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3.5" hidden="1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3.5" hidden="1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3.5" hidden="1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3.5" hidden="1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3.5" hidden="1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3.5" hidden="1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3.5" hidden="1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3.5" hidden="1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3.5" hidden="1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3.5" hidden="1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3.5" hidden="1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3.5" hidden="1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3.5" hidden="1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3.5" hidden="1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3.5" hidden="1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3.5" hidden="1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3.5" hidden="1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3.5" hidden="1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3.5" hidden="1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3.5" hidden="1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3.5" hidden="1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3.5" hidden="1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3.5" hidden="1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3.5" hidden="1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3.5" hidden="1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3.5" hidden="1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3.5" hidden="1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3.5" hidden="1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3.5" hidden="1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3.5" hidden="1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3.5" hidden="1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3.5" hidden="1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3.5" hidden="1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3.5" hidden="1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3.5" hidden="1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3.5" hidden="1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3.5" hidden="1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3.5" hidden="1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3.5" hidden="1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3.5" hidden="1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3.5" hidden="1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3.5" hidden="1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3.5" hidden="1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3.5" hidden="1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3.5" hidden="1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3.5" hidden="1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3.5" hidden="1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3.5" hidden="1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3.5" hidden="1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3.5" hidden="1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3.5" hidden="1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3.5" hidden="1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3.5" hidden="1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3.5" hidden="1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3.5" hidden="1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3.5" hidden="1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3.5" hidden="1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3.5" hidden="1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3.5" hidden="1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3.5" hidden="1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3.5" hidden="1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3.5" hidden="1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3.5" hidden="1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3.5" hidden="1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3.5" hidden="1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3.5" hidden="1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3.5" hidden="1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3.5" hidden="1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3.5" hidden="1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3.5" hidden="1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3.5" hidden="1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3.5" hidden="1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3.5" hidden="1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3.5" hidden="1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3.5" hidden="1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3.5" hidden="1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3.5" hidden="1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3.5" hidden="1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3.5" hidden="1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3.5" hidden="1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3.5" hidden="1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3.5" hidden="1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3.5" hidden="1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3.5" hidden="1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3.5" hidden="1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3.5" hidden="1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3.5" hidden="1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3.5" hidden="1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3.5" hidden="1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3.5" hidden="1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3.5" hidden="1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3.5" hidden="1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3.5" hidden="1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3.5" hidden="1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3.5" hidden="1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3.5" hidden="1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3.5" hidden="1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3.5" hidden="1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3.5" hidden="1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3.5" hidden="1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3.5" hidden="1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3.5" hidden="1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3.5" hidden="1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3.5" hidden="1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3.5" hidden="1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3.5" hidden="1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3.5" hidden="1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3.5" hidden="1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3.5" hidden="1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3.5" hidden="1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3.5" hidden="1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3.5" hidden="1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3.5" hidden="1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3.5" hidden="1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3.5" hidden="1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3.5" hidden="1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3.5" hidden="1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3.5" hidden="1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3.5" hidden="1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3.5" hidden="1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3.5" hidden="1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3.5" hidden="1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3.5" hidden="1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3.5" hidden="1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3.5" hidden="1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3.5" hidden="1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3.5" hidden="1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3.5" hidden="1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3.5" hidden="1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3.5" hidden="1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3.5" hidden="1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3.5" hidden="1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3.5" hidden="1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3.5" hidden="1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3.5" hidden="1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3.5" hidden="1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3.5" hidden="1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3.5" hidden="1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3.5" hidden="1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3.5" hidden="1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3.5" hidden="1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3.5" hidden="1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3.5" hidden="1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3.5" hidden="1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3.5" hidden="1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3.5" hidden="1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3.5" hidden="1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3.5" hidden="1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3.5" hidden="1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3.5" hidden="1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3.5" hidden="1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3.5" hidden="1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3.5" hidden="1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3.5" hidden="1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3.5" hidden="1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3.5" hidden="1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3.5" hidden="1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3.5" hidden="1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3.5" hidden="1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3.5" hidden="1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3.5" hidden="1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3.5" hidden="1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3.5" hidden="1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3.5" hidden="1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3.5" hidden="1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3.5" hidden="1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3.5" hidden="1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3.5" hidden="1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3.5" hidden="1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3.5" hidden="1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3.5" hidden="1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3.5" hidden="1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3.5" hidden="1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3.5" hidden="1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3.5" hidden="1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3.5" hidden="1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3.5" hidden="1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3.5" hidden="1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3.5" hidden="1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3.5" hidden="1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3.5" hidden="1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3.5" hidden="1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3.5" hidden="1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3.5" hidden="1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3.5" hidden="1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3.5" hidden="1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3.5" hidden="1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3.5" hidden="1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3.5" hidden="1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3.5" hidden="1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3.5" hidden="1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3.5" hidden="1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3.5" hidden="1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3.5" hidden="1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3.5" hidden="1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3.5" hidden="1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3.5" hidden="1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3.5" hidden="1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3.5" hidden="1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3.5" hidden="1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3.5" hidden="1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3.5" hidden="1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3.5" hidden="1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3.5" hidden="1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3.5" hidden="1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3.5" hidden="1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3.5" hidden="1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3.5" hidden="1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3.5" hidden="1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3.5" hidden="1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3.5" hidden="1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3.5" hidden="1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3.5" hidden="1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3.5" hidden="1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3.5" hidden="1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3.5" hidden="1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3.5" hidden="1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3.5" hidden="1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3.5" hidden="1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3.5" hidden="1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3.5" hidden="1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3.5" hidden="1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3.5" hidden="1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3.5" hidden="1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3.5" hidden="1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3.5" hidden="1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3.5" hidden="1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3.5" hidden="1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3.5" hidden="1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3.5" hidden="1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3.5" hidden="1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3.5" hidden="1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3.5" hidden="1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3.5" hidden="1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3.5" hidden="1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3.5" hidden="1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3.5" hidden="1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3.5" hidden="1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3.5" hidden="1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3.5" hidden="1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3.5" hidden="1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3.5" hidden="1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3.5" hidden="1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3.5" hidden="1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3.5" hidden="1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3.5" hidden="1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3.5" hidden="1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3.5" hidden="1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3.5" hidden="1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3.5" hidden="1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3.5" hidden="1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3.5" hidden="1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3.5" hidden="1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3.5" hidden="1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3.5" hidden="1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3.5" hidden="1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3.5" hidden="1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3.5" hidden="1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3.5" hidden="1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3.5" hidden="1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3.5" hidden="1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3.5" hidden="1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3.5" hidden="1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3.5" hidden="1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3.5" hidden="1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3.5" hidden="1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3.5" hidden="1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3.5" hidden="1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3.5" hidden="1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3.5" hidden="1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3.5" hidden="1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3.5" hidden="1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3.5" hidden="1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3.5" hidden="1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3.5" hidden="1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3.5" hidden="1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3.5" hidden="1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3.5" hidden="1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3.5" hidden="1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3.5" hidden="1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3.5" hidden="1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3.5" hidden="1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3.5" hidden="1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3.5" hidden="1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3.5" hidden="1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3.5" hidden="1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3.5" hidden="1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3.5" hidden="1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3.5" hidden="1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3.5" hidden="1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3.5" hidden="1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3.5" hidden="1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3.5" hidden="1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3.5" hidden="1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3.5" hidden="1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3.5" hidden="1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3.5" hidden="1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3.5" hidden="1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3.5" hidden="1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3.5" hidden="1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3.5" hidden="1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3.5" hidden="1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3.5" hidden="1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3.5" hidden="1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3.5" hidden="1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3.5" hidden="1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3.5" hidden="1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3.5" hidden="1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3.5" hidden="1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3.5" hidden="1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3.5" hidden="1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3.5" hidden="1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3.5" hidden="1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3.5" hidden="1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3.5" hidden="1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3.5" hidden="1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3.5" hidden="1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3.5" hidden="1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3.5" hidden="1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3.5" hidden="1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3.5" hidden="1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3.5" hidden="1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3.5" hidden="1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3.5" hidden="1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3.5" hidden="1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3.5" hidden="1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3.5" hidden="1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3.5" hidden="1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3.5" hidden="1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3.5" hidden="1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3.5" hidden="1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3.5" hidden="1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3.5" hidden="1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3.5" hidden="1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3.5" hidden="1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3.5" hidden="1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3.5" hidden="1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3.5" hidden="1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3.5" hidden="1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3.5" hidden="1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3.5" hidden="1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3.5" hidden="1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3.5" hidden="1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3.5" hidden="1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3.5" hidden="1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3.5" hidden="1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3.5" hidden="1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3.5" hidden="1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3.5" hidden="1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3.5" hidden="1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3.5" hidden="1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3.5" hidden="1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3.5" hidden="1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3.5" hidden="1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3.5" hidden="1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3.5" hidden="1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3.5" hidden="1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3.5" hidden="1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3.5" hidden="1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3.5" hidden="1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3.5" hidden="1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3.5" hidden="1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3.5" hidden="1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3.5" hidden="1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3.5" hidden="1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3.5" hidden="1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3.5" hidden="1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3.5" hidden="1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3.5" hidden="1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3.5" hidden="1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3.5" hidden="1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3.5" hidden="1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3.5" hidden="1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3.5" hidden="1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3.5" hidden="1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3.5" hidden="1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3.5" hidden="1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3.5" hidden="1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3.5" hidden="1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3.5" hidden="1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3.5" hidden="1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3.5" hidden="1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3.5" hidden="1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3.5" hidden="1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3.5" hidden="1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3.5" hidden="1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3.5" hidden="1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3.5" hidden="1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3.5" hidden="1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3.5" hidden="1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3.5" hidden="1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3.5" hidden="1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3.5" hidden="1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3.5" hidden="1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3.5" hidden="1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3.5" hidden="1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3.5" hidden="1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3.5" hidden="1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3.5" hidden="1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3.5" hidden="1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3.5" hidden="1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3.5" hidden="1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3.5" hidden="1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3.5" hidden="1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3.5" hidden="1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3.5" hidden="1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3.5" hidden="1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3.5" hidden="1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3.5" hidden="1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3.5" hidden="1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3.5" hidden="1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3.5" hidden="1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3.5" hidden="1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3.5" hidden="1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3.5" hidden="1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3.5" hidden="1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3.5" hidden="1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3.5" hidden="1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3.5" hidden="1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3.5" hidden="1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3.5" hidden="1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3.5" hidden="1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3.5" hidden="1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3.5" hidden="1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3.5" hidden="1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3.5" hidden="1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3.5" hidden="1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3.5" hidden="1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3.5" hidden="1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3.5" hidden="1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3.5" hidden="1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3.5" hidden="1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3.5" hidden="1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3.5" hidden="1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3.5" hidden="1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3.5" hidden="1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3.5" hidden="1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3.5" hidden="1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3.5" hidden="1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3.5" hidden="1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3.5" hidden="1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3.5" hidden="1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3.5" hidden="1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3.5" hidden="1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3.5" hidden="1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3.5" hidden="1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3.5" hidden="1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3.5" hidden="1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3.5" hidden="1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3.5" hidden="1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3.5" hidden="1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3.5" hidden="1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3.5" hidden="1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3.5" hidden="1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3.5" hidden="1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3.5" hidden="1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3.5" hidden="1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3.5" hidden="1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3.5" hidden="1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3.5" hidden="1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3.5" hidden="1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3.5" hidden="1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3.5" hidden="1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3.5" hidden="1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3.5" hidden="1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3.5" hidden="1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3.5" hidden="1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3.5" hidden="1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3.5" hidden="1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3.5" hidden="1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3.5" hidden="1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3.5" hidden="1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3.5" hidden="1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3.5" hidden="1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3.5" hidden="1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3.5" hidden="1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3.5" hidden="1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3.5" hidden="1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3.5" hidden="1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3.5" hidden="1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3.5" hidden="1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3.5" hidden="1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3.5" hidden="1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3.5" hidden="1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3.5" hidden="1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3.5" hidden="1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3.5" hidden="1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3.5" hidden="1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3.5" hidden="1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3.5" hidden="1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3.5" hidden="1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3.5" hidden="1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3.5" hidden="1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3.5" hidden="1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3.5" hidden="1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3.5" hidden="1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3.5" hidden="1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3.5" hidden="1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3.5" hidden="1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3.5" hidden="1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3.5" hidden="1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3.5" hidden="1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3.5" hidden="1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3.5" hidden="1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3.5" hidden="1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3.5" hidden="1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3.5" hidden="1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3.5" hidden="1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3.5" hidden="1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3.5" hidden="1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3.5" hidden="1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3.5" hidden="1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3.5" hidden="1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3.5" hidden="1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3.5" hidden="1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3.5" hidden="1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3.5" hidden="1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3.5" hidden="1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3.5" hidden="1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3.5" hidden="1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3.5" hidden="1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3.5" hidden="1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3.5" hidden="1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3.5" hidden="1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3.5" hidden="1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3.5" hidden="1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3.5" hidden="1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3.5" hidden="1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3.5" hidden="1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3.5" hidden="1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3.5" hidden="1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3.5" hidden="1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3.5" hidden="1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3.5" hidden="1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3.5" hidden="1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3.5" hidden="1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3.5" hidden="1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3.5" hidden="1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3.5" hidden="1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3.5" hidden="1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3.5" hidden="1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3.5" hidden="1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3.5" hidden="1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3.5" hidden="1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3.5" hidden="1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3.5" hidden="1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3.5" hidden="1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3.5" hidden="1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3.5" hidden="1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3.5" hidden="1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3.5" hidden="1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3.5" hidden="1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3.5" hidden="1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3.5" hidden="1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3.5" hidden="1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3.5" hidden="1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3.5" hidden="1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3.5" hidden="1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3.5" hidden="1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3.5" hidden="1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3.5" hidden="1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3.5" hidden="1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3.5" hidden="1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3.5" hidden="1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3.5" hidden="1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3.5" hidden="1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3.5" hidden="1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3.5" hidden="1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3.5" hidden="1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3.5" hidden="1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3.5" hidden="1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3.5" hidden="1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3.5" hidden="1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3.5" hidden="1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3.5" hidden="1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3.5" hidden="1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3.5" hidden="1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3.5" hidden="1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3.5" hidden="1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3.5" hidden="1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3.5" hidden="1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3.5" hidden="1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3.5" hidden="1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3.5" hidden="1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3.5" hidden="1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3.5" hidden="1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3.5" hidden="1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3.5" hidden="1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3.5" hidden="1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3.5" hidden="1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3.5" hidden="1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3.5" hidden="1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3.5" hidden="1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3.5" hidden="1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3.5" hidden="1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3.5" hidden="1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3.5" hidden="1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3.5" hidden="1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3.5" hidden="1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3.5" hidden="1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3.5" hidden="1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3.5" hidden="1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3.5" hidden="1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3.5" hidden="1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3.5" hidden="1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3.5" hidden="1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3.5" hidden="1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3.5" hidden="1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3.5" hidden="1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3.5" hidden="1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3.5" hidden="1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3.5" hidden="1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3.5" hidden="1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3.5" hidden="1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3.5" hidden="1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3.5" hidden="1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3.5" hidden="1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3.5" hidden="1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3.5" hidden="1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3.5" hidden="1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3.5" hidden="1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3.5" hidden="1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3.5" hidden="1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3.5" hidden="1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3.5" hidden="1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3.5" hidden="1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3.5" hidden="1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3.5" hidden="1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3">
    <mergeCell ref="A1:J1"/>
    <mergeCell ref="A2:J2"/>
    <mergeCell ref="A41:J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24.0"/>
    <col customWidth="1" min="3" max="3" width="34.0"/>
    <col customWidth="1" min="4" max="4" width="22.0"/>
    <col customWidth="1" min="5" max="5" width="28.0"/>
    <col customWidth="1" min="6" max="7" width="22.0"/>
    <col customWidth="1" min="8" max="8" width="18.0"/>
    <col customWidth="1" min="9" max="9" width="24.0"/>
    <col customWidth="1" hidden="1" min="10" max="26" width="8.63"/>
  </cols>
  <sheetData>
    <row r="1" ht="27.0" customHeight="1">
      <c r="A1" s="30" t="s">
        <v>112</v>
      </c>
      <c r="B1" s="2"/>
      <c r="C1" s="2"/>
      <c r="D1" s="2"/>
      <c r="E1" s="2"/>
      <c r="F1" s="2"/>
      <c r="G1" s="2"/>
      <c r="H1" s="2"/>
      <c r="I1" s="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ht="21.75" customHeight="1">
      <c r="A2" s="32" t="s">
        <v>113</v>
      </c>
      <c r="B2" s="2"/>
      <c r="C2" s="2"/>
      <c r="D2" s="2"/>
      <c r="E2" s="2"/>
      <c r="F2" s="2"/>
      <c r="G2" s="2"/>
      <c r="H2" s="2"/>
      <c r="I2" s="3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ht="13.5" customHeight="1">
      <c r="A3" s="33"/>
      <c r="B3" s="33"/>
      <c r="C3" s="33"/>
      <c r="D3" s="33"/>
      <c r="E3" s="33"/>
      <c r="F3" s="33"/>
      <c r="G3" s="33"/>
      <c r="H3" s="33"/>
      <c r="I3" s="33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ht="18.75" customHeight="1">
      <c r="A4" s="34" t="s">
        <v>114</v>
      </c>
      <c r="B4" s="34" t="s">
        <v>115</v>
      </c>
      <c r="C4" s="34" t="s">
        <v>116</v>
      </c>
      <c r="D4" s="34" t="s">
        <v>117</v>
      </c>
      <c r="E4" s="34" t="s">
        <v>118</v>
      </c>
      <c r="F4" s="34" t="s">
        <v>119</v>
      </c>
      <c r="G4" s="34" t="s">
        <v>120</v>
      </c>
      <c r="H4" s="34" t="s">
        <v>121</v>
      </c>
      <c r="I4" s="34" t="s">
        <v>31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6"/>
      <c r="W4" s="36"/>
      <c r="X4" s="36"/>
      <c r="Y4" s="36"/>
      <c r="Z4" s="36"/>
    </row>
    <row r="5" ht="13.5" customHeight="1">
      <c r="A5" s="37" t="s">
        <v>122</v>
      </c>
      <c r="B5" s="37" t="s">
        <v>123</v>
      </c>
      <c r="C5" s="37" t="s">
        <v>124</v>
      </c>
      <c r="D5" s="37" t="s">
        <v>66</v>
      </c>
      <c r="E5" s="37" t="s">
        <v>125</v>
      </c>
      <c r="F5" s="37" t="s">
        <v>126</v>
      </c>
      <c r="G5" s="37" t="s">
        <v>127</v>
      </c>
      <c r="H5" s="37" t="s">
        <v>128</v>
      </c>
      <c r="I5" s="37" t="s">
        <v>129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ht="13.5" customHeight="1">
      <c r="A6" s="37" t="s">
        <v>130</v>
      </c>
      <c r="B6" s="37" t="s">
        <v>131</v>
      </c>
      <c r="C6" s="37" t="s">
        <v>132</v>
      </c>
      <c r="D6" s="37" t="s">
        <v>133</v>
      </c>
      <c r="E6" s="37" t="s">
        <v>134</v>
      </c>
      <c r="F6" s="37" t="s">
        <v>135</v>
      </c>
      <c r="G6" s="37" t="s">
        <v>136</v>
      </c>
      <c r="H6" s="37" t="s">
        <v>128</v>
      </c>
      <c r="I6" s="37" t="s">
        <v>137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ht="13.5" customHeight="1">
      <c r="A7" s="37" t="s">
        <v>138</v>
      </c>
      <c r="B7" s="37" t="s">
        <v>139</v>
      </c>
      <c r="C7" s="37" t="s">
        <v>140</v>
      </c>
      <c r="D7" s="37" t="s">
        <v>66</v>
      </c>
      <c r="E7" s="37" t="s">
        <v>141</v>
      </c>
      <c r="F7" s="37" t="s">
        <v>142</v>
      </c>
      <c r="G7" s="37" t="s">
        <v>143</v>
      </c>
      <c r="H7" s="37" t="s">
        <v>128</v>
      </c>
      <c r="I7" s="37" t="s">
        <v>144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ht="13.5" customHeight="1">
      <c r="A8" s="37" t="s">
        <v>145</v>
      </c>
      <c r="B8" s="37" t="s">
        <v>146</v>
      </c>
      <c r="C8" s="37" t="s">
        <v>147</v>
      </c>
      <c r="D8" s="37" t="s">
        <v>148</v>
      </c>
      <c r="E8" s="37" t="s">
        <v>149</v>
      </c>
      <c r="F8" s="37" t="s">
        <v>150</v>
      </c>
      <c r="G8" s="37" t="s">
        <v>151</v>
      </c>
      <c r="H8" s="37" t="s">
        <v>128</v>
      </c>
      <c r="I8" s="37" t="s">
        <v>152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ht="13.5" customHeight="1">
      <c r="A9" s="37" t="s">
        <v>153</v>
      </c>
      <c r="B9" s="37" t="s">
        <v>154</v>
      </c>
      <c r="C9" s="37" t="s">
        <v>155</v>
      </c>
      <c r="D9" s="37" t="s">
        <v>72</v>
      </c>
      <c r="E9" s="37" t="s">
        <v>156</v>
      </c>
      <c r="F9" s="37" t="s">
        <v>142</v>
      </c>
      <c r="G9" s="37" t="s">
        <v>157</v>
      </c>
      <c r="H9" s="37" t="s">
        <v>128</v>
      </c>
      <c r="I9" s="37" t="s">
        <v>158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ht="13.5" customHeight="1">
      <c r="A10" s="37" t="s">
        <v>159</v>
      </c>
      <c r="B10" s="37" t="s">
        <v>160</v>
      </c>
      <c r="C10" s="37" t="s">
        <v>161</v>
      </c>
      <c r="D10" s="37" t="s">
        <v>162</v>
      </c>
      <c r="E10" s="37" t="s">
        <v>163</v>
      </c>
      <c r="F10" s="37" t="s">
        <v>164</v>
      </c>
      <c r="G10" s="37" t="s">
        <v>165</v>
      </c>
      <c r="H10" s="37" t="s">
        <v>128</v>
      </c>
      <c r="I10" s="37" t="s">
        <v>166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ht="13.5" customHeight="1">
      <c r="A11" s="37" t="s">
        <v>167</v>
      </c>
      <c r="B11" s="37" t="s">
        <v>168</v>
      </c>
      <c r="C11" s="37" t="s">
        <v>169</v>
      </c>
      <c r="D11" s="37" t="s">
        <v>170</v>
      </c>
      <c r="E11" s="37" t="s">
        <v>171</v>
      </c>
      <c r="F11" s="37" t="s">
        <v>172</v>
      </c>
      <c r="G11" s="37" t="s">
        <v>173</v>
      </c>
      <c r="H11" s="37" t="s">
        <v>128</v>
      </c>
      <c r="I11" s="37" t="s">
        <v>174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ht="13.5" hidden="1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ht="13.5" hidden="1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ht="13.5" hidden="1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ht="13.5" hidden="1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ht="13.5" hidden="1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ht="13.5" hidden="1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ht="13.5" hidden="1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ht="13.5" hidden="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ht="13.5" hidden="1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ht="13.5" hidden="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ht="13.5" hidden="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ht="13.5" hidden="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ht="13.5" hidden="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ht="13.5" hidden="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ht="13.5" hidden="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ht="13.5" hidden="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ht="13.5" hidden="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ht="13.5" hidden="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ht="13.5" hidden="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ht="13.5" hidden="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ht="13.5" hidden="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ht="13.5" hidden="1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ht="13.5" hidden="1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ht="13.5" hidden="1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ht="13.5" hidden="1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ht="13.5" hidden="1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ht="13.5" hidden="1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ht="13.5" hidden="1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t="13.5" hidden="1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ht="13.5" hidden="1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ht="13.5" hidden="1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ht="13.5" hidden="1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ht="13.5" hidden="1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ht="13.5" hidden="1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ht="13.5" hidden="1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ht="13.5" hidden="1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ht="13.5" hidden="1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ht="13.5" hidden="1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ht="13.5" hidden="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ht="13.5" hidden="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ht="13.5" hidden="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ht="13.5" hidden="1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ht="13.5" hidden="1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ht="13.5" hidden="1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ht="13.5" hidden="1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ht="13.5" hidden="1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ht="13.5" hidden="1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ht="13.5" hidden="1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ht="13.5" hidden="1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ht="13.5" hidden="1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ht="13.5" hidden="1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ht="13.5" hidden="1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ht="13.5" hidden="1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ht="13.5" hidden="1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ht="13.5" hidden="1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ht="13.5" hidden="1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ht="13.5" hidden="1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ht="13.5" hidden="1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ht="13.5" hidden="1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ht="13.5" hidden="1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</row>
    <row r="72" ht="13.5" hidden="1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</row>
    <row r="73" ht="13.5" hidden="1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</row>
    <row r="74" ht="13.5" hidden="1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ht="13.5" hidden="1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</row>
    <row r="76" ht="13.5" hidden="1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ht="13.5" hidden="1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</row>
    <row r="78" ht="13.5" hidden="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ht="13.5" hidden="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ht="13.5" hidden="1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ht="13.5" hidden="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ht="13.5" hidden="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ht="13.5" hidden="1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ht="13.5" hidden="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ht="13.5" hidden="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ht="13.5" hidden="1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ht="13.5" hidden="1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ht="13.5" hidden="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ht="13.5" hidden="1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ht="13.5" hidden="1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ht="13.5" hidden="1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ht="13.5" hidden="1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ht="13.5" hidden="1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ht="13.5" hidden="1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ht="13.5" hidden="1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ht="13.5" hidden="1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ht="13.5" hidden="1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ht="13.5" hidden="1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ht="13.5" hidden="1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ht="13.5" hidden="1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ht="13.5" hidden="1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ht="13.5" hidden="1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ht="13.5" hidden="1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ht="13.5" hidden="1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ht="13.5" hidden="1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ht="13.5" hidden="1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ht="13.5" hidden="1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ht="13.5" hidden="1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ht="13.5" hidden="1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ht="13.5" hidden="1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ht="13.5" hidden="1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ht="13.5" hidden="1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ht="13.5" hidden="1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ht="13.5" hidden="1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ht="13.5" hidden="1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ht="13.5" hidden="1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ht="13.5" hidden="1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ht="13.5" hidden="1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ht="13.5" hidden="1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ht="13.5" hidden="1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mergeCells count="2">
    <mergeCell ref="A1:I1"/>
    <mergeCell ref="A2:I2"/>
  </mergeCells>
  <conditionalFormatting sqref="H5:H11">
    <cfRule type="expression" dxfId="4" priority="1">
      <formula>H5="Xong"</formula>
    </cfRule>
  </conditionalFormatting>
  <conditionalFormatting sqref="H5:H11">
    <cfRule type="expression" dxfId="5" priority="2">
      <formula>H5="Đang làm"</formula>
    </cfRule>
  </conditionalFormatting>
  <conditionalFormatting sqref="H5:H11">
    <cfRule type="expression" dxfId="6" priority="3">
      <formula>H5="Blocked"</formula>
    </cfRule>
  </conditionalFormatting>
  <dataValidations>
    <dataValidation type="list" allowBlank="1" sqref="H5:H11">
      <formula1>"Chưa bắt đầu,Đang làm,Xong,Blocked"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2.0"/>
    <col customWidth="1" min="3" max="3" width="20.0"/>
    <col customWidth="1" min="4" max="4" width="24.0"/>
    <col customWidth="1" min="5" max="6" width="16.0"/>
    <col customWidth="1" min="7" max="9" width="18.0"/>
    <col customWidth="1" min="10" max="10" width="22.0"/>
  </cols>
  <sheetData>
    <row r="1" ht="27.0" customHeight="1">
      <c r="A1" s="38" t="s">
        <v>175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39" t="s">
        <v>176</v>
      </c>
      <c r="B2" s="2"/>
      <c r="C2" s="2"/>
      <c r="D2" s="2"/>
      <c r="E2" s="2"/>
      <c r="F2" s="2"/>
      <c r="G2" s="2"/>
      <c r="H2" s="2"/>
      <c r="I2" s="2"/>
      <c r="J2" s="3"/>
    </row>
    <row r="3" ht="13.5" customHeight="1">
      <c r="A3" s="40"/>
      <c r="B3" s="40"/>
      <c r="C3" s="40"/>
      <c r="D3" s="40"/>
      <c r="E3" s="40"/>
      <c r="F3" s="40"/>
      <c r="G3" s="40"/>
      <c r="H3" s="40"/>
      <c r="I3" s="40"/>
      <c r="J3" s="40"/>
    </row>
    <row r="4" ht="18.75" customHeight="1">
      <c r="A4" s="41" t="s">
        <v>177</v>
      </c>
      <c r="B4" s="41" t="s">
        <v>178</v>
      </c>
      <c r="C4" s="41" t="s">
        <v>179</v>
      </c>
      <c r="D4" s="41" t="s">
        <v>180</v>
      </c>
      <c r="E4" s="40"/>
      <c r="F4" s="40"/>
      <c r="G4" s="40"/>
      <c r="H4" s="40"/>
      <c r="I4" s="40"/>
      <c r="J4" s="40"/>
    </row>
    <row r="5" ht="13.5" customHeight="1">
      <c r="A5" s="42" t="s">
        <v>181</v>
      </c>
      <c r="B5" s="42" t="s">
        <v>182</v>
      </c>
      <c r="C5" s="42" t="s">
        <v>183</v>
      </c>
      <c r="D5" s="42" t="s">
        <v>184</v>
      </c>
      <c r="E5" s="40"/>
      <c r="F5" s="40"/>
      <c r="G5" s="40"/>
      <c r="H5" s="40"/>
      <c r="I5" s="40"/>
      <c r="J5" s="40"/>
    </row>
    <row r="6" ht="13.5" customHeight="1">
      <c r="A6" s="42" t="s">
        <v>185</v>
      </c>
      <c r="B6" s="42" t="s">
        <v>186</v>
      </c>
      <c r="C6" s="42" t="s">
        <v>187</v>
      </c>
      <c r="D6" s="42" t="s">
        <v>188</v>
      </c>
      <c r="E6" s="40"/>
      <c r="F6" s="40"/>
      <c r="G6" s="40"/>
      <c r="H6" s="40"/>
      <c r="I6" s="40"/>
      <c r="J6" s="40"/>
    </row>
    <row r="7" ht="13.5" customHeight="1">
      <c r="A7" s="42" t="s">
        <v>189</v>
      </c>
      <c r="B7" s="42" t="s">
        <v>190</v>
      </c>
      <c r="C7" s="42" t="s">
        <v>191</v>
      </c>
      <c r="D7" s="42" t="s">
        <v>192</v>
      </c>
      <c r="E7" s="40"/>
      <c r="F7" s="40"/>
      <c r="G7" s="40"/>
      <c r="H7" s="40"/>
      <c r="I7" s="40"/>
      <c r="J7" s="40"/>
    </row>
    <row r="8" ht="13.5" customHeight="1">
      <c r="A8" s="42" t="s">
        <v>193</v>
      </c>
      <c r="B8" s="42" t="s">
        <v>194</v>
      </c>
      <c r="C8" s="42" t="s">
        <v>170</v>
      </c>
      <c r="D8" s="42" t="s">
        <v>195</v>
      </c>
      <c r="E8" s="40"/>
      <c r="F8" s="40"/>
      <c r="G8" s="40"/>
      <c r="H8" s="40"/>
      <c r="I8" s="40"/>
      <c r="J8" s="40"/>
    </row>
    <row r="9" ht="13.5" customHeight="1">
      <c r="A9" s="42" t="s">
        <v>196</v>
      </c>
      <c r="B9" s="42" t="s">
        <v>197</v>
      </c>
      <c r="C9" s="42" t="s">
        <v>198</v>
      </c>
      <c r="D9" s="42" t="s">
        <v>199</v>
      </c>
      <c r="E9" s="40"/>
      <c r="F9" s="40"/>
      <c r="G9" s="40"/>
      <c r="H9" s="40"/>
      <c r="I9" s="40"/>
      <c r="J9" s="40"/>
    </row>
    <row r="10" ht="13.5" customHeight="1">
      <c r="A10" s="42" t="s">
        <v>200</v>
      </c>
      <c r="B10" s="42" t="s">
        <v>201</v>
      </c>
      <c r="C10" s="42" t="s">
        <v>202</v>
      </c>
      <c r="D10" s="42" t="s">
        <v>203</v>
      </c>
      <c r="E10" s="40"/>
      <c r="F10" s="40"/>
      <c r="G10" s="40"/>
      <c r="H10" s="40"/>
      <c r="I10" s="40"/>
      <c r="J10" s="40"/>
    </row>
    <row r="11" ht="13.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ht="13.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</row>
    <row r="13" ht="18.75" customHeight="1">
      <c r="A13" s="41" t="s">
        <v>204</v>
      </c>
      <c r="B13" s="41" t="s">
        <v>205</v>
      </c>
      <c r="C13" s="41" t="s">
        <v>103</v>
      </c>
      <c r="D13" s="41" t="s">
        <v>31</v>
      </c>
      <c r="E13" s="40"/>
      <c r="F13" s="40"/>
      <c r="G13" s="40"/>
      <c r="H13" s="40"/>
      <c r="I13" s="40"/>
      <c r="J13" s="40"/>
    </row>
    <row r="14" ht="13.5" customHeight="1">
      <c r="A14" s="42" t="s">
        <v>66</v>
      </c>
      <c r="B14" s="43">
        <v>199000.0</v>
      </c>
      <c r="C14" s="43">
        <v>50000.0</v>
      </c>
      <c r="D14" s="42" t="s">
        <v>206</v>
      </c>
      <c r="E14" s="40"/>
      <c r="F14" s="40"/>
      <c r="G14" s="40"/>
      <c r="H14" s="40"/>
      <c r="I14" s="40"/>
      <c r="J14" s="40"/>
    </row>
    <row r="15" ht="13.5" customHeight="1">
      <c r="A15" s="42" t="s">
        <v>72</v>
      </c>
      <c r="B15" s="43">
        <v>249000.0</v>
      </c>
      <c r="C15" s="43">
        <v>60000.0</v>
      </c>
      <c r="D15" s="42" t="s">
        <v>207</v>
      </c>
      <c r="E15" s="40"/>
      <c r="F15" s="40"/>
      <c r="G15" s="40"/>
      <c r="H15" s="40"/>
      <c r="I15" s="40"/>
      <c r="J15" s="40"/>
    </row>
    <row r="16" ht="13.5" customHeight="1">
      <c r="A16" s="42" t="s">
        <v>208</v>
      </c>
      <c r="B16" s="43">
        <v>60000.0</v>
      </c>
      <c r="C16" s="43">
        <v>5000.0</v>
      </c>
      <c r="D16" s="42" t="s">
        <v>209</v>
      </c>
      <c r="E16" s="40"/>
      <c r="F16" s="40"/>
      <c r="G16" s="40"/>
      <c r="H16" s="40"/>
      <c r="I16" s="40"/>
      <c r="J16" s="40"/>
    </row>
    <row r="17" ht="13.5" customHeight="1">
      <c r="A17" s="42" t="s">
        <v>210</v>
      </c>
      <c r="B17" s="43"/>
      <c r="C17" s="43">
        <v>500000.0</v>
      </c>
      <c r="D17" s="42" t="s">
        <v>211</v>
      </c>
      <c r="E17" s="40"/>
      <c r="F17" s="40"/>
      <c r="G17" s="40"/>
      <c r="H17" s="40"/>
      <c r="I17" s="40"/>
      <c r="J17" s="40"/>
    </row>
    <row r="18" ht="13.5" customHeight="1">
      <c r="A18" s="42" t="s">
        <v>212</v>
      </c>
      <c r="B18" s="43"/>
      <c r="C18" s="43">
        <v>1500000.0</v>
      </c>
      <c r="D18" s="42" t="s">
        <v>213</v>
      </c>
      <c r="E18" s="40"/>
      <c r="F18" s="40"/>
      <c r="G18" s="40"/>
      <c r="H18" s="40"/>
      <c r="I18" s="40"/>
      <c r="J18" s="40"/>
    </row>
    <row r="19" ht="13.5" customHeight="1">
      <c r="A19" s="42"/>
      <c r="B19" s="43"/>
      <c r="C19" s="43"/>
      <c r="D19" s="42"/>
      <c r="E19" s="40"/>
      <c r="F19" s="40"/>
      <c r="G19" s="40"/>
      <c r="H19" s="40"/>
      <c r="I19" s="40"/>
      <c r="J19" s="40"/>
    </row>
    <row r="20" ht="13.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</row>
    <row r="21" ht="13.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</row>
    <row r="22" ht="13.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</row>
    <row r="23" ht="18.75" customHeight="1">
      <c r="A23" s="44" t="s">
        <v>214</v>
      </c>
      <c r="B23" s="44" t="s">
        <v>215</v>
      </c>
      <c r="C23" s="44" t="s">
        <v>216</v>
      </c>
      <c r="D23" s="44" t="s">
        <v>217</v>
      </c>
      <c r="E23" s="44" t="s">
        <v>218</v>
      </c>
      <c r="F23" s="44" t="s">
        <v>72</v>
      </c>
      <c r="G23" s="44" t="s">
        <v>219</v>
      </c>
      <c r="H23" s="44" t="s">
        <v>220</v>
      </c>
      <c r="I23" s="44" t="s">
        <v>121</v>
      </c>
      <c r="J23" s="44" t="s">
        <v>31</v>
      </c>
    </row>
    <row r="24" ht="13.5" customHeight="1">
      <c r="A24" s="45" t="s">
        <v>221</v>
      </c>
      <c r="B24" s="45"/>
      <c r="C24" s="45"/>
      <c r="D24" s="45"/>
      <c r="E24" s="45">
        <v>0.0</v>
      </c>
      <c r="F24" s="45">
        <v>0.0</v>
      </c>
      <c r="G24" s="46">
        <f>E24*'01 Offer Pricing'!$B$5+F24*'01 Offer Pricing'!$B$6</f>
        <v>0</v>
      </c>
      <c r="H24" s="46">
        <f>E24*'01 Offer Pricing'!$B$11+F24*'01 Offer Pricing'!$B$12</f>
        <v>0</v>
      </c>
      <c r="I24" s="45" t="s">
        <v>128</v>
      </c>
      <c r="J24" s="45"/>
    </row>
    <row r="25" ht="13.5" customHeight="1">
      <c r="A25" s="45" t="s">
        <v>222</v>
      </c>
      <c r="B25" s="45"/>
      <c r="C25" s="45"/>
      <c r="D25" s="45"/>
      <c r="E25" s="45">
        <v>0.0</v>
      </c>
      <c r="F25" s="45">
        <v>0.0</v>
      </c>
      <c r="G25" s="46">
        <f>E25*'01 Offer Pricing'!$B$5+F25*'01 Offer Pricing'!$B$6</f>
        <v>0</v>
      </c>
      <c r="H25" s="46">
        <f>E25*'01 Offer Pricing'!$B$11+F25*'01 Offer Pricing'!$B$12</f>
        <v>0</v>
      </c>
      <c r="I25" s="45" t="s">
        <v>128</v>
      </c>
      <c r="J25" s="45"/>
    </row>
    <row r="26" ht="13.5" customHeight="1">
      <c r="A26" s="45" t="s">
        <v>223</v>
      </c>
      <c r="B26" s="45"/>
      <c r="C26" s="45"/>
      <c r="D26" s="45"/>
      <c r="E26" s="45">
        <v>0.0</v>
      </c>
      <c r="F26" s="45">
        <v>0.0</v>
      </c>
      <c r="G26" s="46">
        <f>E26*'01 Offer Pricing'!$B$5+F26*'01 Offer Pricing'!$B$6</f>
        <v>0</v>
      </c>
      <c r="H26" s="46">
        <f>E26*'01 Offer Pricing'!$B$11+F26*'01 Offer Pricing'!$B$12</f>
        <v>0</v>
      </c>
      <c r="I26" s="45" t="s">
        <v>128</v>
      </c>
      <c r="J26" s="45"/>
    </row>
    <row r="27" ht="13.5" customHeight="1">
      <c r="A27" s="45" t="s">
        <v>224</v>
      </c>
      <c r="B27" s="45"/>
      <c r="C27" s="45"/>
      <c r="D27" s="45"/>
      <c r="E27" s="45">
        <v>0.0</v>
      </c>
      <c r="F27" s="45">
        <v>0.0</v>
      </c>
      <c r="G27" s="46">
        <f>E27*'01 Offer Pricing'!$B$5+F27*'01 Offer Pricing'!$B$6</f>
        <v>0</v>
      </c>
      <c r="H27" s="46">
        <f>E27*'01 Offer Pricing'!$B$11+F27*'01 Offer Pricing'!$B$12</f>
        <v>0</v>
      </c>
      <c r="I27" s="45" t="s">
        <v>128</v>
      </c>
      <c r="J27" s="45"/>
    </row>
    <row r="28" ht="13.5" customHeight="1">
      <c r="A28" s="45" t="s">
        <v>225</v>
      </c>
      <c r="B28" s="45"/>
      <c r="C28" s="45"/>
      <c r="D28" s="45"/>
      <c r="E28" s="45">
        <v>0.0</v>
      </c>
      <c r="F28" s="45">
        <v>0.0</v>
      </c>
      <c r="G28" s="46">
        <f>E28*'01 Offer Pricing'!$B$5+F28*'01 Offer Pricing'!$B$6</f>
        <v>0</v>
      </c>
      <c r="H28" s="46">
        <f>E28*'01 Offer Pricing'!$B$11+F28*'01 Offer Pricing'!$B$12</f>
        <v>0</v>
      </c>
      <c r="I28" s="45" t="s">
        <v>128</v>
      </c>
      <c r="J28" s="45"/>
    </row>
    <row r="29" ht="13.5" customHeight="1">
      <c r="A29" s="45" t="s">
        <v>226</v>
      </c>
      <c r="B29" s="45"/>
      <c r="C29" s="45"/>
      <c r="D29" s="45"/>
      <c r="E29" s="45">
        <v>0.0</v>
      </c>
      <c r="F29" s="45">
        <v>0.0</v>
      </c>
      <c r="G29" s="46">
        <f>E29*'01 Offer Pricing'!$B$5+F29*'01 Offer Pricing'!$B$6</f>
        <v>0</v>
      </c>
      <c r="H29" s="46">
        <f>E29*'01 Offer Pricing'!$B$11+F29*'01 Offer Pricing'!$B$12</f>
        <v>0</v>
      </c>
      <c r="I29" s="45" t="s">
        <v>128</v>
      </c>
      <c r="J29" s="45"/>
    </row>
    <row r="30" ht="13.5" customHeight="1">
      <c r="A30" s="45" t="s">
        <v>227</v>
      </c>
      <c r="B30" s="45"/>
      <c r="C30" s="45"/>
      <c r="D30" s="45"/>
      <c r="E30" s="45">
        <v>0.0</v>
      </c>
      <c r="F30" s="45">
        <v>0.0</v>
      </c>
      <c r="G30" s="46">
        <f>E30*'01 Offer Pricing'!$B$5+F30*'01 Offer Pricing'!$B$6</f>
        <v>0</v>
      </c>
      <c r="H30" s="46">
        <f>E30*'01 Offer Pricing'!$B$11+F30*'01 Offer Pricing'!$B$12</f>
        <v>0</v>
      </c>
      <c r="I30" s="45" t="s">
        <v>128</v>
      </c>
      <c r="J30" s="45"/>
    </row>
    <row r="31" ht="13.5" customHeight="1">
      <c r="A31" s="45" t="s">
        <v>228</v>
      </c>
      <c r="B31" s="45"/>
      <c r="C31" s="45"/>
      <c r="D31" s="45"/>
      <c r="E31" s="45">
        <v>0.0</v>
      </c>
      <c r="F31" s="45">
        <v>0.0</v>
      </c>
      <c r="G31" s="46">
        <f>E31*'01 Offer Pricing'!$B$5+F31*'01 Offer Pricing'!$B$6</f>
        <v>0</v>
      </c>
      <c r="H31" s="46">
        <f>E31*'01 Offer Pricing'!$B$11+F31*'01 Offer Pricing'!$B$12</f>
        <v>0</v>
      </c>
      <c r="I31" s="45" t="s">
        <v>128</v>
      </c>
      <c r="J31" s="45"/>
    </row>
    <row r="32" ht="13.5" customHeight="1">
      <c r="A32" s="45" t="s">
        <v>229</v>
      </c>
      <c r="B32" s="45"/>
      <c r="C32" s="45"/>
      <c r="D32" s="45"/>
      <c r="E32" s="45">
        <v>0.0</v>
      </c>
      <c r="F32" s="45">
        <v>0.0</v>
      </c>
      <c r="G32" s="46">
        <f>E32*'01 Offer Pricing'!$B$5+F32*'01 Offer Pricing'!$B$6</f>
        <v>0</v>
      </c>
      <c r="H32" s="46">
        <f>E32*'01 Offer Pricing'!$B$11+F32*'01 Offer Pricing'!$B$12</f>
        <v>0</v>
      </c>
      <c r="I32" s="45" t="s">
        <v>128</v>
      </c>
      <c r="J32" s="45"/>
    </row>
    <row r="33" ht="13.5" customHeight="1">
      <c r="A33" s="45" t="s">
        <v>230</v>
      </c>
      <c r="B33" s="45"/>
      <c r="C33" s="45"/>
      <c r="D33" s="45"/>
      <c r="E33" s="45">
        <v>0.0</v>
      </c>
      <c r="F33" s="45">
        <v>0.0</v>
      </c>
      <c r="G33" s="46">
        <f>E33*'01 Offer Pricing'!$B$5+F33*'01 Offer Pricing'!$B$6</f>
        <v>0</v>
      </c>
      <c r="H33" s="46">
        <f>E33*'01 Offer Pricing'!$B$11+F33*'01 Offer Pricing'!$B$12</f>
        <v>0</v>
      </c>
      <c r="I33" s="45" t="s">
        <v>128</v>
      </c>
      <c r="J33" s="45"/>
    </row>
    <row r="34" ht="13.5" customHeight="1">
      <c r="A34" s="45" t="s">
        <v>231</v>
      </c>
      <c r="B34" s="45"/>
      <c r="C34" s="45"/>
      <c r="D34" s="45"/>
      <c r="E34" s="45">
        <v>0.0</v>
      </c>
      <c r="F34" s="45">
        <v>0.0</v>
      </c>
      <c r="G34" s="46">
        <f>E34*'01 Offer Pricing'!$B$5+F34*'01 Offer Pricing'!$B$6</f>
        <v>0</v>
      </c>
      <c r="H34" s="46">
        <f>E34*'01 Offer Pricing'!$B$11+F34*'01 Offer Pricing'!$B$12</f>
        <v>0</v>
      </c>
      <c r="I34" s="45" t="s">
        <v>128</v>
      </c>
      <c r="J34" s="45"/>
    </row>
    <row r="35" ht="13.5" customHeight="1">
      <c r="A35" s="45" t="s">
        <v>232</v>
      </c>
      <c r="B35" s="45"/>
      <c r="C35" s="45"/>
      <c r="D35" s="45"/>
      <c r="E35" s="45">
        <v>0.0</v>
      </c>
      <c r="F35" s="45">
        <v>0.0</v>
      </c>
      <c r="G35" s="46">
        <f>E35*'01 Offer Pricing'!$B$5+F35*'01 Offer Pricing'!$B$6</f>
        <v>0</v>
      </c>
      <c r="H35" s="46">
        <f>E35*'01 Offer Pricing'!$B$11+F35*'01 Offer Pricing'!$B$12</f>
        <v>0</v>
      </c>
      <c r="I35" s="45" t="s">
        <v>128</v>
      </c>
      <c r="J35" s="45"/>
    </row>
    <row r="36" ht="13.5" customHeight="1">
      <c r="A36" s="45" t="s">
        <v>233</v>
      </c>
      <c r="B36" s="45"/>
      <c r="C36" s="45"/>
      <c r="D36" s="45"/>
      <c r="E36" s="45">
        <v>0.0</v>
      </c>
      <c r="F36" s="45">
        <v>0.0</v>
      </c>
      <c r="G36" s="46">
        <f>E36*'01 Offer Pricing'!$B$5+F36*'01 Offer Pricing'!$B$6</f>
        <v>0</v>
      </c>
      <c r="H36" s="46">
        <f>E36*'01 Offer Pricing'!$B$11+F36*'01 Offer Pricing'!$B$12</f>
        <v>0</v>
      </c>
      <c r="I36" s="45" t="s">
        <v>128</v>
      </c>
      <c r="J36" s="45"/>
    </row>
    <row r="37" ht="13.5" customHeight="1">
      <c r="A37" s="45" t="s">
        <v>234</v>
      </c>
      <c r="B37" s="45"/>
      <c r="C37" s="45"/>
      <c r="D37" s="45"/>
      <c r="E37" s="45">
        <v>0.0</v>
      </c>
      <c r="F37" s="45">
        <v>0.0</v>
      </c>
      <c r="G37" s="46">
        <f>E37*'01 Offer Pricing'!$B$5+F37*'01 Offer Pricing'!$B$6</f>
        <v>0</v>
      </c>
      <c r="H37" s="46">
        <f>E37*'01 Offer Pricing'!$B$11+F37*'01 Offer Pricing'!$B$12</f>
        <v>0</v>
      </c>
      <c r="I37" s="45" t="s">
        <v>128</v>
      </c>
      <c r="J37" s="45"/>
    </row>
    <row r="38" ht="13.5" customHeight="1">
      <c r="A38" s="45" t="s">
        <v>235</v>
      </c>
      <c r="B38" s="45"/>
      <c r="C38" s="45"/>
      <c r="D38" s="45"/>
      <c r="E38" s="45">
        <v>0.0</v>
      </c>
      <c r="F38" s="45">
        <v>0.0</v>
      </c>
      <c r="G38" s="46">
        <f>E38*'01 Offer Pricing'!$B$5+F38*'01 Offer Pricing'!$B$6</f>
        <v>0</v>
      </c>
      <c r="H38" s="46">
        <f>E38*'01 Offer Pricing'!$B$11+F38*'01 Offer Pricing'!$B$12</f>
        <v>0</v>
      </c>
      <c r="I38" s="45" t="s">
        <v>128</v>
      </c>
      <c r="J38" s="45"/>
    </row>
    <row r="39" ht="13.5" customHeight="1">
      <c r="A39" s="45" t="s">
        <v>236</v>
      </c>
      <c r="B39" s="45"/>
      <c r="C39" s="45"/>
      <c r="D39" s="45"/>
      <c r="E39" s="45">
        <v>0.0</v>
      </c>
      <c r="F39" s="45">
        <v>0.0</v>
      </c>
      <c r="G39" s="46">
        <f>E39*'01 Offer Pricing'!$B$5+F39*'01 Offer Pricing'!$B$6</f>
        <v>0</v>
      </c>
      <c r="H39" s="46">
        <f>E39*'01 Offer Pricing'!$B$11+F39*'01 Offer Pricing'!$B$12</f>
        <v>0</v>
      </c>
      <c r="I39" s="45" t="s">
        <v>128</v>
      </c>
      <c r="J39" s="45"/>
    </row>
    <row r="40" ht="13.5" customHeight="1">
      <c r="A40" s="45" t="s">
        <v>237</v>
      </c>
      <c r="B40" s="45"/>
      <c r="C40" s="45"/>
      <c r="D40" s="45"/>
      <c r="E40" s="45">
        <v>0.0</v>
      </c>
      <c r="F40" s="45">
        <v>0.0</v>
      </c>
      <c r="G40" s="46">
        <f>E40*'01 Offer Pricing'!$B$5+F40*'01 Offer Pricing'!$B$6</f>
        <v>0</v>
      </c>
      <c r="H40" s="46">
        <f>E40*'01 Offer Pricing'!$B$11+F40*'01 Offer Pricing'!$B$12</f>
        <v>0</v>
      </c>
      <c r="I40" s="45" t="s">
        <v>128</v>
      </c>
      <c r="J40" s="45"/>
    </row>
    <row r="41" ht="13.5" customHeight="1">
      <c r="A41" s="45" t="s">
        <v>238</v>
      </c>
      <c r="B41" s="45"/>
      <c r="C41" s="45"/>
      <c r="D41" s="45"/>
      <c r="E41" s="45">
        <v>0.0</v>
      </c>
      <c r="F41" s="45">
        <v>0.0</v>
      </c>
      <c r="G41" s="46">
        <f>E41*'01 Offer Pricing'!$B$5+F41*'01 Offer Pricing'!$B$6</f>
        <v>0</v>
      </c>
      <c r="H41" s="46">
        <f>E41*'01 Offer Pricing'!$B$11+F41*'01 Offer Pricing'!$B$12</f>
        <v>0</v>
      </c>
      <c r="I41" s="45" t="s">
        <v>128</v>
      </c>
      <c r="J41" s="45"/>
    </row>
    <row r="42" ht="13.5" customHeight="1">
      <c r="A42" s="45" t="s">
        <v>239</v>
      </c>
      <c r="B42" s="45"/>
      <c r="C42" s="45"/>
      <c r="D42" s="45"/>
      <c r="E42" s="45">
        <v>0.0</v>
      </c>
      <c r="F42" s="45">
        <v>0.0</v>
      </c>
      <c r="G42" s="46">
        <f>E42*'01 Offer Pricing'!$B$5+F42*'01 Offer Pricing'!$B$6</f>
        <v>0</v>
      </c>
      <c r="H42" s="46">
        <f>E42*'01 Offer Pricing'!$B$11+F42*'01 Offer Pricing'!$B$12</f>
        <v>0</v>
      </c>
      <c r="I42" s="45" t="s">
        <v>128</v>
      </c>
      <c r="J42" s="45"/>
    </row>
    <row r="43" ht="13.5" customHeight="1">
      <c r="A43" s="45" t="s">
        <v>240</v>
      </c>
      <c r="B43" s="45"/>
      <c r="C43" s="45"/>
      <c r="D43" s="45"/>
      <c r="E43" s="45">
        <v>0.0</v>
      </c>
      <c r="F43" s="45">
        <v>0.0</v>
      </c>
      <c r="G43" s="46">
        <f>E43*'01 Offer Pricing'!$B$5+F43*'01 Offer Pricing'!$B$6</f>
        <v>0</v>
      </c>
      <c r="H43" s="46">
        <f>E43*'01 Offer Pricing'!$B$11+F43*'01 Offer Pricing'!$B$12</f>
        <v>0</v>
      </c>
      <c r="I43" s="45" t="s">
        <v>128</v>
      </c>
      <c r="J43" s="45"/>
    </row>
    <row r="44" ht="13.5" customHeight="1">
      <c r="A44" s="45" t="s">
        <v>241</v>
      </c>
      <c r="B44" s="45"/>
      <c r="C44" s="45"/>
      <c r="D44" s="45"/>
      <c r="E44" s="45">
        <v>0.0</v>
      </c>
      <c r="F44" s="45">
        <v>0.0</v>
      </c>
      <c r="G44" s="46">
        <f>E44*'01 Offer Pricing'!$B$5+F44*'01 Offer Pricing'!$B$6</f>
        <v>0</v>
      </c>
      <c r="H44" s="46">
        <f>E44*'01 Offer Pricing'!$B$11+F44*'01 Offer Pricing'!$B$12</f>
        <v>0</v>
      </c>
      <c r="I44" s="45" t="s">
        <v>128</v>
      </c>
      <c r="J44" s="45"/>
    </row>
    <row r="45" ht="13.5" customHeight="1">
      <c r="A45" s="45" t="s">
        <v>242</v>
      </c>
      <c r="B45" s="45"/>
      <c r="C45" s="45"/>
      <c r="D45" s="45"/>
      <c r="E45" s="45">
        <v>0.0</v>
      </c>
      <c r="F45" s="45">
        <v>0.0</v>
      </c>
      <c r="G45" s="46">
        <f>E45*'01 Offer Pricing'!$B$5+F45*'01 Offer Pricing'!$B$6</f>
        <v>0</v>
      </c>
      <c r="H45" s="46">
        <f>E45*'01 Offer Pricing'!$B$11+F45*'01 Offer Pricing'!$B$12</f>
        <v>0</v>
      </c>
      <c r="I45" s="45" t="s">
        <v>128</v>
      </c>
      <c r="J45" s="45"/>
    </row>
    <row r="46" ht="13.5" customHeight="1">
      <c r="A46" s="45" t="s">
        <v>243</v>
      </c>
      <c r="B46" s="45"/>
      <c r="C46" s="45"/>
      <c r="D46" s="45"/>
      <c r="E46" s="45">
        <v>0.0</v>
      </c>
      <c r="F46" s="45">
        <v>0.0</v>
      </c>
      <c r="G46" s="46">
        <f>E46*'01 Offer Pricing'!$B$5+F46*'01 Offer Pricing'!$B$6</f>
        <v>0</v>
      </c>
      <c r="H46" s="46">
        <f>E46*'01 Offer Pricing'!$B$11+F46*'01 Offer Pricing'!$B$12</f>
        <v>0</v>
      </c>
      <c r="I46" s="45" t="s">
        <v>128</v>
      </c>
      <c r="J46" s="45"/>
    </row>
    <row r="47" ht="13.5" customHeight="1">
      <c r="A47" s="45" t="s">
        <v>244</v>
      </c>
      <c r="B47" s="45"/>
      <c r="C47" s="45"/>
      <c r="D47" s="45"/>
      <c r="E47" s="45">
        <v>0.0</v>
      </c>
      <c r="F47" s="45">
        <v>0.0</v>
      </c>
      <c r="G47" s="46">
        <f>E47*'01 Offer Pricing'!$B$5+F47*'01 Offer Pricing'!$B$6</f>
        <v>0</v>
      </c>
      <c r="H47" s="46">
        <f>E47*'01 Offer Pricing'!$B$11+F47*'01 Offer Pricing'!$B$12</f>
        <v>0</v>
      </c>
      <c r="I47" s="45" t="s">
        <v>128</v>
      </c>
      <c r="J47" s="45"/>
    </row>
    <row r="48" ht="13.5" customHeight="1">
      <c r="A48" s="45" t="s">
        <v>245</v>
      </c>
      <c r="B48" s="45"/>
      <c r="C48" s="45"/>
      <c r="D48" s="45"/>
      <c r="E48" s="45">
        <v>0.0</v>
      </c>
      <c r="F48" s="45">
        <v>0.0</v>
      </c>
      <c r="G48" s="46">
        <f>E48*'01 Offer Pricing'!$B$5+F48*'01 Offer Pricing'!$B$6</f>
        <v>0</v>
      </c>
      <c r="H48" s="46">
        <f>E48*'01 Offer Pricing'!$B$11+F48*'01 Offer Pricing'!$B$12</f>
        <v>0</v>
      </c>
      <c r="I48" s="45" t="s">
        <v>128</v>
      </c>
      <c r="J48" s="45"/>
    </row>
    <row r="49" ht="13.5" customHeight="1">
      <c r="A49" s="45" t="s">
        <v>246</v>
      </c>
      <c r="B49" s="45"/>
      <c r="C49" s="45"/>
      <c r="D49" s="45"/>
      <c r="E49" s="45">
        <v>0.0</v>
      </c>
      <c r="F49" s="45">
        <v>0.0</v>
      </c>
      <c r="G49" s="46">
        <f>E49*'01 Offer Pricing'!$B$5+F49*'01 Offer Pricing'!$B$6</f>
        <v>0</v>
      </c>
      <c r="H49" s="46">
        <f>E49*'01 Offer Pricing'!$B$11+F49*'01 Offer Pricing'!$B$12</f>
        <v>0</v>
      </c>
      <c r="I49" s="45" t="s">
        <v>128</v>
      </c>
      <c r="J49" s="45"/>
    </row>
    <row r="50" ht="13.5" customHeight="1">
      <c r="A50" s="45" t="s">
        <v>247</v>
      </c>
      <c r="B50" s="45"/>
      <c r="C50" s="45"/>
      <c r="D50" s="45"/>
      <c r="E50" s="45">
        <v>0.0</v>
      </c>
      <c r="F50" s="45">
        <v>0.0</v>
      </c>
      <c r="G50" s="46">
        <f>E50*'01 Offer Pricing'!$B$5+F50*'01 Offer Pricing'!$B$6</f>
        <v>0</v>
      </c>
      <c r="H50" s="46">
        <f>E50*'01 Offer Pricing'!$B$11+F50*'01 Offer Pricing'!$B$12</f>
        <v>0</v>
      </c>
      <c r="I50" s="45" t="s">
        <v>128</v>
      </c>
      <c r="J50" s="45"/>
    </row>
    <row r="51" ht="13.5" customHeight="1">
      <c r="A51" s="45" t="s">
        <v>248</v>
      </c>
      <c r="B51" s="45"/>
      <c r="C51" s="45"/>
      <c r="D51" s="45"/>
      <c r="E51" s="45">
        <v>0.0</v>
      </c>
      <c r="F51" s="45">
        <v>0.0</v>
      </c>
      <c r="G51" s="46">
        <f>E51*'01 Offer Pricing'!$B$5+F51*'01 Offer Pricing'!$B$6</f>
        <v>0</v>
      </c>
      <c r="H51" s="46">
        <f>E51*'01 Offer Pricing'!$B$11+F51*'01 Offer Pricing'!$B$12</f>
        <v>0</v>
      </c>
      <c r="I51" s="45" t="s">
        <v>128</v>
      </c>
      <c r="J51" s="45"/>
    </row>
    <row r="52" ht="13.5" customHeight="1">
      <c r="A52" s="45" t="s">
        <v>249</v>
      </c>
      <c r="B52" s="45"/>
      <c r="C52" s="45"/>
      <c r="D52" s="45"/>
      <c r="E52" s="45">
        <v>0.0</v>
      </c>
      <c r="F52" s="45">
        <v>0.0</v>
      </c>
      <c r="G52" s="46">
        <f>E52*'01 Offer Pricing'!$B$5+F52*'01 Offer Pricing'!$B$6</f>
        <v>0</v>
      </c>
      <c r="H52" s="46">
        <f>E52*'01 Offer Pricing'!$B$11+F52*'01 Offer Pricing'!$B$12</f>
        <v>0</v>
      </c>
      <c r="I52" s="45" t="s">
        <v>128</v>
      </c>
      <c r="J52" s="45"/>
    </row>
    <row r="53" ht="13.5" customHeight="1">
      <c r="A53" s="45" t="s">
        <v>250</v>
      </c>
      <c r="B53" s="45"/>
      <c r="C53" s="45"/>
      <c r="D53" s="45"/>
      <c r="E53" s="45">
        <v>0.0</v>
      </c>
      <c r="F53" s="45">
        <v>0.0</v>
      </c>
      <c r="G53" s="46">
        <f>E53*'01 Offer Pricing'!$B$5+F53*'01 Offer Pricing'!$B$6</f>
        <v>0</v>
      </c>
      <c r="H53" s="46">
        <f>E53*'01 Offer Pricing'!$B$11+F53*'01 Offer Pricing'!$B$12</f>
        <v>0</v>
      </c>
      <c r="I53" s="45" t="s">
        <v>128</v>
      </c>
      <c r="J53" s="45"/>
    </row>
    <row r="54" ht="13.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</row>
    <row r="55" ht="13.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</row>
    <row r="56" ht="13.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</row>
    <row r="57" ht="13.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</row>
    <row r="58" ht="13.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</row>
    <row r="59" ht="13.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</row>
    <row r="60" ht="13.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</row>
    <row r="61" ht="13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</row>
    <row r="62" ht="13.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</row>
    <row r="63" ht="13.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</row>
    <row r="64" ht="13.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</row>
    <row r="65" ht="13.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</row>
    <row r="66" ht="13.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</row>
    <row r="67" ht="13.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</row>
    <row r="68" ht="13.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</row>
    <row r="69" ht="13.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</row>
    <row r="70" ht="13.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</row>
    <row r="71" ht="13.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</row>
    <row r="72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</row>
    <row r="73" ht="13.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</row>
    <row r="74" ht="13.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</row>
    <row r="75" ht="13.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</row>
    <row r="76" ht="13.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</row>
    <row r="77" ht="13.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</row>
    <row r="78" ht="13.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</row>
    <row r="79" ht="13.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</row>
    <row r="80" ht="13.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</row>
    <row r="81" ht="13.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</row>
    <row r="82" ht="13.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</row>
    <row r="83" ht="13.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</row>
    <row r="84" ht="13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</row>
    <row r="85" ht="13.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</row>
    <row r="86" ht="13.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</row>
    <row r="87" ht="13.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</row>
    <row r="88" ht="13.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</row>
    <row r="89" ht="13.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</row>
    <row r="90" ht="13.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</row>
    <row r="91" ht="13.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</row>
    <row r="92" ht="13.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</row>
    <row r="93" ht="13.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</row>
    <row r="94" ht="13.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</row>
    <row r="95" ht="13.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</row>
    <row r="96" ht="13.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</row>
    <row r="97" ht="13.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</row>
    <row r="98" ht="13.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</row>
    <row r="99" ht="13.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</row>
    <row r="100" ht="13.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</row>
    <row r="101" ht="13.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</row>
    <row r="102" ht="13.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</row>
    <row r="103" ht="13.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</row>
    <row r="104" ht="13.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</row>
    <row r="105" ht="13.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</row>
    <row r="106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</row>
    <row r="107" ht="13.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</row>
    <row r="108" ht="13.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</row>
    <row r="109" ht="13.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</row>
    <row r="110" ht="13.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</row>
    <row r="111" ht="13.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</row>
    <row r="112" ht="13.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</row>
    <row r="113" ht="13.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</row>
    <row r="114" ht="13.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</row>
    <row r="115" ht="13.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</row>
    <row r="116" ht="13.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</row>
    <row r="117" ht="13.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</row>
    <row r="118" ht="13.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</row>
    <row r="119" ht="13.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</row>
    <row r="120" ht="13.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</row>
    <row r="213" ht="13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</row>
    <row r="214" ht="13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</row>
    <row r="215" ht="13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</row>
    <row r="216" ht="13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</row>
    <row r="217" ht="13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ht="13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</row>
    <row r="219" ht="13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</row>
    <row r="220" ht="13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</row>
    <row r="221" ht="13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</row>
    <row r="222" ht="13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</row>
    <row r="223" ht="13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</row>
    <row r="224" ht="13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</row>
    <row r="225" ht="13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</row>
    <row r="226" ht="13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</row>
    <row r="227" ht="13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</row>
    <row r="228" ht="13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</row>
    <row r="229" ht="13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</row>
    <row r="230" ht="13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</row>
    <row r="231" ht="13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</row>
    <row r="232" ht="13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</row>
    <row r="233" ht="13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</row>
    <row r="234" ht="13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</row>
    <row r="235" ht="13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</row>
    <row r="236" ht="13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</row>
    <row r="237" ht="13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</row>
    <row r="238" ht="13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</row>
    <row r="239" ht="13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</row>
    <row r="240" ht="13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</row>
    <row r="241" ht="13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</row>
    <row r="242" ht="13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</row>
    <row r="243" ht="13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</row>
    <row r="244" ht="13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</row>
    <row r="245" ht="13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</row>
    <row r="246" ht="13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</row>
    <row r="247" ht="13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</row>
    <row r="248" ht="13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</row>
    <row r="249" ht="13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</row>
    <row r="250" ht="13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</row>
    <row r="251" ht="13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</row>
    <row r="252" ht="13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</row>
    <row r="253" ht="13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</row>
    <row r="254" ht="13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</row>
    <row r="255" ht="13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</row>
    <row r="256" ht="13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</row>
    <row r="257" ht="13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</row>
    <row r="258" ht="13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</row>
    <row r="259" ht="13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</row>
    <row r="260" ht="13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</row>
    <row r="261" ht="13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</row>
    <row r="262" ht="13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</row>
    <row r="263" ht="13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</row>
    <row r="264" ht="13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</row>
    <row r="265" ht="13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</row>
    <row r="266" ht="13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</row>
    <row r="267" ht="13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</row>
    <row r="268" ht="13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</row>
    <row r="269" ht="13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</row>
    <row r="270" ht="13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</row>
    <row r="271" ht="13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</row>
    <row r="272" ht="13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</row>
    <row r="273" ht="13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</row>
    <row r="274" ht="13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</row>
    <row r="275" ht="13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</row>
    <row r="276" ht="13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</row>
    <row r="277" ht="13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</row>
    <row r="278" ht="13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</row>
    <row r="279" ht="13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</row>
    <row r="280" ht="13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</row>
    <row r="281" ht="13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</row>
    <row r="282" ht="13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</row>
    <row r="283" ht="13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</row>
    <row r="284" ht="13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</row>
    <row r="285" ht="13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</row>
    <row r="286" ht="13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</row>
    <row r="287" ht="13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</row>
    <row r="288" ht="13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</row>
    <row r="289" ht="13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</row>
    <row r="290" ht="13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</row>
    <row r="291" ht="13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</row>
    <row r="292" ht="13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</row>
    <row r="293" ht="13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</row>
    <row r="294" ht="13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</row>
    <row r="295" ht="13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</row>
    <row r="296" ht="13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</row>
    <row r="297" ht="13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</row>
    <row r="298" ht="13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</row>
    <row r="299" ht="13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</row>
    <row r="300" ht="13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</row>
    <row r="301" ht="13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</row>
    <row r="302" ht="13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</row>
    <row r="303" ht="13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</row>
    <row r="304" ht="13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</row>
    <row r="305" ht="13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</row>
    <row r="306" ht="13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</row>
    <row r="307" ht="13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</row>
    <row r="308" ht="13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</row>
    <row r="309" ht="13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</row>
    <row r="310" ht="13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</row>
    <row r="311" ht="13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</row>
    <row r="312" ht="13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</row>
    <row r="313" ht="13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</row>
    <row r="314" ht="13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</row>
    <row r="315" ht="13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</row>
    <row r="316" ht="13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</row>
    <row r="317" ht="13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</row>
    <row r="318" ht="13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</row>
    <row r="319" ht="13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</row>
    <row r="320" ht="13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</row>
    <row r="321" ht="13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</row>
    <row r="322" ht="13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</row>
    <row r="323" ht="13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</row>
    <row r="324" ht="13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</row>
    <row r="325" ht="13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</row>
    <row r="326" ht="13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</row>
    <row r="327" ht="13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</row>
    <row r="328" ht="13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</row>
    <row r="329" ht="13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</row>
    <row r="330" ht="13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</row>
    <row r="331" ht="13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</row>
    <row r="332" ht="13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</row>
    <row r="333" ht="13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</row>
    <row r="334" ht="13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</row>
    <row r="335" ht="13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</row>
    <row r="336" ht="13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</row>
    <row r="337" ht="13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</row>
    <row r="338" ht="13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</row>
    <row r="339" ht="13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</row>
    <row r="340" ht="13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</row>
    <row r="341" ht="13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</row>
    <row r="342" ht="13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</row>
    <row r="343" ht="13.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</row>
    <row r="344" ht="13.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</row>
    <row r="345" ht="13.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</row>
    <row r="346" ht="13.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</row>
    <row r="347" ht="13.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</row>
    <row r="348" ht="13.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</row>
    <row r="349" ht="13.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</row>
    <row r="350" ht="13.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</row>
    <row r="351" ht="13.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</row>
    <row r="352" ht="13.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</row>
    <row r="353" ht="13.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</row>
    <row r="354" ht="13.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</row>
    <row r="355" ht="13.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</row>
    <row r="356" ht="13.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</row>
    <row r="357" ht="13.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</row>
    <row r="358" ht="13.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</row>
    <row r="359" ht="13.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</row>
    <row r="360" ht="13.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</row>
    <row r="361" ht="13.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</row>
    <row r="362" ht="13.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</row>
    <row r="363" ht="13.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</row>
    <row r="364" ht="13.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</row>
    <row r="365" ht="13.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</row>
    <row r="366" ht="13.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</row>
    <row r="367" ht="13.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</row>
    <row r="368" ht="13.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</row>
    <row r="369" ht="13.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</row>
    <row r="370" ht="13.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</row>
    <row r="371" ht="13.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</row>
    <row r="372" ht="13.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</row>
    <row r="373" ht="13.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</row>
    <row r="374" ht="13.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</row>
    <row r="375" ht="13.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</row>
    <row r="376" ht="13.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</row>
    <row r="377" ht="13.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</row>
    <row r="378" ht="13.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</row>
    <row r="379" ht="13.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</row>
    <row r="380" ht="13.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</row>
    <row r="381" ht="13.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</row>
    <row r="382" ht="13.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</row>
    <row r="383" ht="13.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</row>
    <row r="384" ht="13.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</row>
    <row r="385" ht="13.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</row>
    <row r="386" ht="13.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</row>
    <row r="387" ht="13.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</row>
    <row r="388" ht="13.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</row>
    <row r="389" ht="13.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</row>
    <row r="390" ht="13.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</row>
    <row r="391" ht="13.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</row>
    <row r="392" ht="13.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</row>
    <row r="393" ht="13.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</row>
    <row r="394" ht="13.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</row>
    <row r="395" ht="13.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</row>
    <row r="396" ht="13.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</row>
    <row r="397" ht="13.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</row>
    <row r="398" ht="13.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</row>
    <row r="399" ht="13.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</row>
    <row r="400" ht="13.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</row>
    <row r="401" ht="13.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</row>
    <row r="402" ht="13.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</row>
    <row r="403" ht="13.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</row>
    <row r="404" ht="13.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</row>
    <row r="405" ht="13.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</row>
    <row r="406" ht="13.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</row>
    <row r="407" ht="13.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</row>
    <row r="408" ht="13.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</row>
    <row r="409" ht="13.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</row>
    <row r="410" ht="13.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</row>
    <row r="411" ht="13.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</row>
    <row r="412" ht="13.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</row>
    <row r="413" ht="13.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</row>
    <row r="414" ht="13.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</row>
    <row r="415" ht="13.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</row>
    <row r="416" ht="13.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</row>
    <row r="417" ht="13.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</row>
    <row r="418" ht="13.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</row>
    <row r="419" ht="13.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</row>
    <row r="420" ht="13.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</row>
    <row r="421" ht="13.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</row>
    <row r="422" ht="13.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</row>
    <row r="423" ht="13.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</row>
    <row r="424" ht="13.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</row>
    <row r="425" ht="13.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</row>
    <row r="426" ht="13.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</row>
    <row r="427" ht="13.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</row>
    <row r="428" ht="13.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</row>
    <row r="429" ht="13.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</row>
    <row r="430" ht="13.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</row>
    <row r="431" ht="13.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</row>
    <row r="432" ht="13.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</row>
    <row r="433" ht="13.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</row>
    <row r="434" ht="13.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</row>
    <row r="435" ht="13.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</row>
    <row r="436" ht="13.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</row>
    <row r="437" ht="13.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</row>
    <row r="438" ht="13.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</row>
    <row r="439" ht="13.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</row>
    <row r="440" ht="13.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</row>
    <row r="441" ht="13.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</row>
    <row r="442" ht="13.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</row>
    <row r="443" ht="13.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</row>
    <row r="444" ht="13.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</row>
    <row r="445" ht="13.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</row>
    <row r="446" ht="13.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</row>
    <row r="447" ht="13.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</row>
    <row r="448" ht="13.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</row>
    <row r="449" ht="13.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</row>
    <row r="450" ht="13.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</row>
    <row r="451" ht="13.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</row>
    <row r="452" ht="13.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</row>
    <row r="453" ht="13.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</row>
    <row r="454" ht="13.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</row>
    <row r="455" ht="13.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</row>
    <row r="456" ht="13.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</row>
    <row r="457" ht="13.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</row>
    <row r="458" ht="13.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</row>
    <row r="459" ht="13.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</row>
    <row r="460" ht="13.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</row>
    <row r="461" ht="13.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</row>
    <row r="462" ht="13.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</row>
    <row r="463" ht="13.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</row>
    <row r="464" ht="13.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</row>
    <row r="465" ht="13.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</row>
    <row r="466" ht="13.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</row>
    <row r="467" ht="13.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</row>
    <row r="468" ht="13.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</row>
    <row r="469" ht="13.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</row>
    <row r="470" ht="13.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</row>
    <row r="471" ht="13.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</row>
    <row r="472" ht="13.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</row>
    <row r="473" ht="13.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</row>
    <row r="474" ht="13.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</row>
    <row r="475" ht="13.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</row>
    <row r="476" ht="13.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</row>
    <row r="477" ht="13.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</row>
    <row r="478" ht="13.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</row>
    <row r="479" ht="13.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</row>
    <row r="480" ht="13.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</row>
    <row r="481" ht="13.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</row>
    <row r="482" ht="13.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</row>
    <row r="483" ht="13.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</row>
    <row r="484" ht="13.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</row>
    <row r="485" ht="13.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</row>
    <row r="486" ht="13.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</row>
    <row r="487" ht="13.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</row>
    <row r="488" ht="13.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</row>
    <row r="489" ht="13.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</row>
    <row r="490" ht="13.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</row>
    <row r="491" ht="13.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</row>
    <row r="492" ht="13.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</row>
    <row r="493" ht="13.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</row>
    <row r="494" ht="13.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</row>
    <row r="495" ht="13.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</row>
    <row r="496" ht="13.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</row>
    <row r="497" ht="13.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</row>
    <row r="498" ht="13.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</row>
    <row r="499" ht="13.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</row>
    <row r="500" ht="13.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</row>
    <row r="501" ht="13.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</row>
    <row r="502" ht="13.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</row>
    <row r="503" ht="13.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</row>
    <row r="504" ht="13.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</row>
    <row r="505" ht="13.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</row>
    <row r="506" ht="13.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</row>
    <row r="507" ht="13.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</row>
    <row r="508" ht="13.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</row>
    <row r="509" ht="13.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</row>
    <row r="510" ht="13.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</row>
    <row r="511" ht="13.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</row>
    <row r="512" ht="13.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</row>
    <row r="513" ht="13.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</row>
    <row r="514" ht="13.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</row>
    <row r="515" ht="13.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</row>
    <row r="516" ht="13.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</row>
    <row r="517" ht="13.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</row>
    <row r="518" ht="13.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</row>
    <row r="519" ht="13.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</row>
    <row r="520" ht="13.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</row>
    <row r="521" ht="13.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</row>
    <row r="522" ht="13.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</row>
    <row r="523" ht="13.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</row>
    <row r="524" ht="13.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</row>
    <row r="525" ht="13.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</row>
    <row r="526" ht="13.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</row>
    <row r="527" ht="13.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</row>
    <row r="528" ht="13.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</row>
    <row r="529" ht="13.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</row>
    <row r="530" ht="13.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</row>
    <row r="531" ht="13.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</row>
    <row r="532" ht="13.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</row>
    <row r="533" ht="13.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</row>
    <row r="534" ht="13.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</row>
    <row r="535" ht="13.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</row>
    <row r="536" ht="13.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</row>
    <row r="537" ht="13.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</row>
    <row r="538" ht="13.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</row>
    <row r="539" ht="13.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</row>
    <row r="540" ht="13.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</row>
    <row r="541" ht="13.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</row>
    <row r="542" ht="13.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</row>
    <row r="543" ht="13.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</row>
    <row r="544" ht="13.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</row>
    <row r="545" ht="13.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</row>
    <row r="546" ht="13.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</row>
    <row r="547" ht="13.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</row>
    <row r="548" ht="13.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</row>
    <row r="549" ht="13.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</row>
    <row r="550" ht="13.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</row>
    <row r="551" ht="13.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</row>
    <row r="552" ht="13.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</row>
    <row r="553" ht="13.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</row>
    <row r="554" ht="13.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</row>
    <row r="555" ht="13.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</row>
    <row r="556" ht="13.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</row>
    <row r="557" ht="13.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</row>
    <row r="558" ht="13.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</row>
    <row r="559" ht="13.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</row>
    <row r="560" ht="13.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</row>
    <row r="561" ht="13.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</row>
    <row r="562" ht="13.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</row>
    <row r="563" ht="13.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</row>
    <row r="564" ht="13.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</row>
    <row r="565" ht="13.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</row>
    <row r="566" ht="13.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</row>
    <row r="567" ht="13.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</row>
    <row r="568" ht="13.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</row>
    <row r="569" ht="13.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</row>
    <row r="570" ht="13.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</row>
    <row r="571" ht="13.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</row>
    <row r="572" ht="13.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</row>
    <row r="573" ht="13.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</row>
    <row r="574" ht="13.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</row>
    <row r="575" ht="13.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</row>
    <row r="576" ht="13.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</row>
    <row r="577" ht="13.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</row>
    <row r="578" ht="13.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</row>
    <row r="579" ht="13.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</row>
    <row r="580" ht="13.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</row>
    <row r="581" ht="13.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</row>
    <row r="582" ht="13.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</row>
    <row r="583" ht="13.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</row>
    <row r="584" ht="13.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</row>
    <row r="585" ht="13.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</row>
    <row r="586" ht="13.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</row>
    <row r="587" ht="13.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</row>
    <row r="588" ht="13.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</row>
    <row r="589" ht="13.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</row>
    <row r="590" ht="13.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</row>
    <row r="591" ht="13.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</row>
    <row r="592" ht="13.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</row>
    <row r="593" ht="13.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</row>
    <row r="594" ht="13.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</row>
    <row r="595" ht="13.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</row>
    <row r="596" ht="13.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</row>
    <row r="597" ht="13.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</row>
    <row r="598" ht="13.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</row>
    <row r="599" ht="13.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</row>
    <row r="600" ht="13.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</row>
    <row r="601" ht="13.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</row>
    <row r="602" ht="13.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</row>
    <row r="603" ht="13.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</row>
    <row r="604" ht="13.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</row>
    <row r="605" ht="13.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</row>
    <row r="606" ht="13.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</row>
    <row r="607" ht="13.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</row>
    <row r="608" ht="13.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</row>
    <row r="609" ht="13.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</row>
    <row r="610" ht="13.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</row>
    <row r="611" ht="13.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</row>
    <row r="612" ht="13.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</row>
    <row r="613" ht="13.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</row>
    <row r="614" ht="13.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</row>
    <row r="615" ht="13.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</row>
    <row r="616" ht="13.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</row>
    <row r="617" ht="13.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</row>
    <row r="618" ht="13.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</row>
    <row r="619" ht="13.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</row>
    <row r="620" ht="13.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</row>
    <row r="621" ht="13.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</row>
    <row r="622" ht="13.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</row>
    <row r="623" ht="13.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</row>
    <row r="624" ht="13.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</row>
    <row r="625" ht="13.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</row>
    <row r="626" ht="13.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</row>
    <row r="627" ht="13.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</row>
    <row r="628" ht="13.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</row>
    <row r="629" ht="13.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</row>
    <row r="630" ht="13.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</row>
    <row r="631" ht="13.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</row>
    <row r="632" ht="13.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</row>
    <row r="633" ht="13.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</row>
    <row r="634" ht="13.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</row>
    <row r="635" ht="13.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</row>
    <row r="636" ht="13.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</row>
    <row r="637" ht="13.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</row>
    <row r="638" ht="13.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</row>
    <row r="639" ht="13.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</row>
    <row r="640" ht="13.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</row>
    <row r="641" ht="13.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</row>
    <row r="642" ht="13.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</row>
    <row r="643" ht="13.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</row>
    <row r="644" ht="13.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</row>
    <row r="645" ht="13.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</row>
    <row r="646" ht="13.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</row>
    <row r="647" ht="13.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</row>
    <row r="648" ht="13.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</row>
    <row r="649" ht="13.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</row>
    <row r="650" ht="13.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</row>
    <row r="651" ht="13.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</row>
    <row r="652" ht="13.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</row>
    <row r="653" ht="13.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</row>
    <row r="654" ht="13.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</row>
    <row r="655" ht="13.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</row>
    <row r="656" ht="13.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</row>
    <row r="657" ht="13.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</row>
    <row r="658" ht="13.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</row>
    <row r="659" ht="13.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</row>
    <row r="660" ht="13.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</row>
    <row r="661" ht="13.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</row>
    <row r="662" ht="13.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</row>
    <row r="663" ht="13.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</row>
    <row r="664" ht="13.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</row>
    <row r="665" ht="13.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</row>
    <row r="666" ht="13.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</row>
    <row r="667" ht="13.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</row>
    <row r="668" ht="13.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</row>
    <row r="669" ht="13.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</row>
    <row r="670" ht="13.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</row>
    <row r="671" ht="13.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</row>
    <row r="672" ht="13.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</row>
    <row r="673" ht="13.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</row>
    <row r="674" ht="13.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</row>
    <row r="675" ht="13.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</row>
    <row r="676" ht="13.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</row>
    <row r="677" ht="13.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</row>
    <row r="678" ht="13.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</row>
    <row r="679" ht="13.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</row>
    <row r="680" ht="13.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</row>
    <row r="681" ht="13.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</row>
    <row r="682" ht="13.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</row>
    <row r="683" ht="13.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</row>
    <row r="684" ht="13.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</row>
    <row r="685" ht="13.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</row>
    <row r="686" ht="13.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</row>
    <row r="687" ht="13.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</row>
    <row r="688" ht="13.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</row>
    <row r="689" ht="13.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</row>
    <row r="690" ht="13.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</row>
    <row r="691" ht="13.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</row>
    <row r="692" ht="13.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</row>
    <row r="693" ht="13.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</row>
    <row r="694" ht="13.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</row>
    <row r="695" ht="13.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</row>
    <row r="696" ht="13.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</row>
    <row r="697" ht="13.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</row>
    <row r="698" ht="13.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</row>
    <row r="699" ht="13.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</row>
    <row r="700" ht="13.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</row>
    <row r="701" ht="13.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</row>
    <row r="702" ht="13.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</row>
    <row r="703" ht="13.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</row>
    <row r="704" ht="13.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</row>
    <row r="705" ht="13.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</row>
    <row r="706" ht="13.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</row>
    <row r="707" ht="13.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</row>
    <row r="708" ht="13.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</row>
    <row r="709" ht="13.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</row>
    <row r="710" ht="13.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</row>
    <row r="711" ht="13.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</row>
    <row r="712" ht="13.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</row>
    <row r="713" ht="13.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</row>
    <row r="714" ht="13.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</row>
    <row r="715" ht="13.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</row>
    <row r="716" ht="13.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</row>
    <row r="717" ht="13.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</row>
    <row r="718" ht="13.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</row>
    <row r="719" ht="13.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</row>
    <row r="720" ht="13.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</row>
    <row r="721" ht="13.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</row>
    <row r="722" ht="13.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</row>
    <row r="723" ht="13.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</row>
    <row r="724" ht="13.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</row>
    <row r="725" ht="13.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</row>
    <row r="726" ht="13.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</row>
    <row r="727" ht="13.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</row>
    <row r="728" ht="13.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</row>
    <row r="729" ht="13.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</row>
    <row r="730" ht="13.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</row>
    <row r="731" ht="13.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</row>
    <row r="732" ht="13.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</row>
    <row r="733" ht="13.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</row>
    <row r="734" ht="13.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</row>
    <row r="735" ht="13.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</row>
    <row r="736" ht="13.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</row>
    <row r="737" ht="13.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</row>
    <row r="738" ht="13.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</row>
    <row r="739" ht="13.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</row>
    <row r="740" ht="13.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</row>
    <row r="741" ht="13.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</row>
    <row r="742" ht="13.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</row>
    <row r="743" ht="13.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</row>
    <row r="744" ht="13.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</row>
    <row r="745" ht="13.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</row>
    <row r="746" ht="13.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</row>
    <row r="747" ht="13.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</row>
    <row r="748" ht="13.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</row>
    <row r="749" ht="13.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</row>
    <row r="750" ht="13.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</row>
    <row r="751" ht="13.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</row>
    <row r="752" ht="13.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</row>
    <row r="753" ht="13.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</row>
    <row r="754" ht="13.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</row>
    <row r="755" ht="13.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</row>
    <row r="756" ht="13.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</row>
    <row r="757" ht="13.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</row>
    <row r="758" ht="13.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</row>
    <row r="759" ht="13.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</row>
    <row r="760" ht="13.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</row>
    <row r="761" ht="13.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</row>
    <row r="762" ht="13.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</row>
    <row r="763" ht="13.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</row>
    <row r="764" ht="13.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</row>
    <row r="765" ht="13.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</row>
    <row r="766" ht="13.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</row>
    <row r="767" ht="13.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</row>
    <row r="768" ht="13.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</row>
    <row r="769" ht="13.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</row>
    <row r="770" ht="13.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</row>
    <row r="771" ht="13.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</row>
    <row r="772" ht="13.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</row>
    <row r="773" ht="13.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</row>
    <row r="774" ht="13.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</row>
    <row r="775" ht="13.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</row>
    <row r="776" ht="13.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</row>
    <row r="777" ht="13.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</row>
    <row r="778" ht="13.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</row>
    <row r="779" ht="13.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</row>
    <row r="780" ht="13.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</row>
    <row r="781" ht="13.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</row>
    <row r="782" ht="13.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</row>
    <row r="783" ht="13.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</row>
    <row r="784" ht="13.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</row>
    <row r="785" ht="13.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</row>
    <row r="786" ht="13.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</row>
    <row r="787" ht="13.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</row>
    <row r="788" ht="13.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</row>
    <row r="789" ht="13.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</row>
    <row r="790" ht="13.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</row>
    <row r="791" ht="13.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</row>
    <row r="792" ht="13.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</row>
    <row r="793" ht="13.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</row>
    <row r="794" ht="13.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</row>
    <row r="795" ht="13.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</row>
    <row r="796" ht="13.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</row>
    <row r="797" ht="13.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</row>
    <row r="798" ht="13.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</row>
    <row r="799" ht="13.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</row>
    <row r="800" ht="13.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</row>
    <row r="801" ht="13.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</row>
    <row r="802" ht="13.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</row>
    <row r="803" ht="13.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</row>
    <row r="804" ht="13.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</row>
    <row r="805" ht="13.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</row>
    <row r="806" ht="13.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</row>
    <row r="807" ht="13.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</row>
    <row r="808" ht="13.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</row>
    <row r="809" ht="13.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</row>
    <row r="810" ht="13.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</row>
    <row r="811" ht="13.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</row>
    <row r="812" ht="13.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</row>
    <row r="813" ht="13.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</row>
    <row r="814" ht="13.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</row>
    <row r="815" ht="13.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</row>
    <row r="816" ht="13.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</row>
    <row r="817" ht="13.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</row>
    <row r="818" ht="13.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</row>
    <row r="819" ht="13.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</row>
    <row r="820" ht="13.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</row>
    <row r="821" ht="13.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</row>
    <row r="822" ht="13.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</row>
    <row r="823" ht="13.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</row>
    <row r="824" ht="13.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</row>
    <row r="825" ht="13.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</row>
    <row r="826" ht="13.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</row>
    <row r="827" ht="13.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</row>
    <row r="828" ht="13.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</row>
    <row r="829" ht="13.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</row>
    <row r="830" ht="13.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</row>
    <row r="831" ht="13.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</row>
    <row r="832" ht="13.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</row>
    <row r="833" ht="13.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</row>
    <row r="834" ht="13.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</row>
    <row r="835" ht="13.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</row>
    <row r="836" ht="13.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</row>
    <row r="837" ht="13.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</row>
    <row r="838" ht="13.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</row>
    <row r="839" ht="13.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</row>
    <row r="840" ht="13.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</row>
    <row r="841" ht="13.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</row>
    <row r="842" ht="13.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</row>
    <row r="843" ht="13.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</row>
    <row r="844" ht="13.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</row>
    <row r="845" ht="13.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</row>
    <row r="846" ht="13.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</row>
    <row r="847" ht="13.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</row>
    <row r="848" ht="13.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</row>
    <row r="849" ht="13.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</row>
    <row r="850" ht="13.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</row>
    <row r="851" ht="13.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</row>
    <row r="852" ht="13.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</row>
    <row r="853" ht="13.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</row>
    <row r="854" ht="13.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</row>
    <row r="855" ht="13.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</row>
    <row r="856" ht="13.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</row>
    <row r="857" ht="13.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</row>
    <row r="858" ht="13.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</row>
    <row r="859" ht="13.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</row>
    <row r="860" ht="13.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</row>
    <row r="861" ht="13.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</row>
    <row r="862" ht="13.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</row>
    <row r="863" ht="13.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</row>
    <row r="864" ht="13.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</row>
    <row r="865" ht="13.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</row>
    <row r="866" ht="13.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</row>
    <row r="867" ht="13.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</row>
    <row r="868" ht="13.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</row>
    <row r="869" ht="13.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</row>
    <row r="870" ht="13.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</row>
    <row r="871" ht="13.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</row>
    <row r="872" ht="13.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</row>
    <row r="873" ht="13.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</row>
    <row r="874" ht="13.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</row>
    <row r="875" ht="13.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</row>
    <row r="876" ht="13.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</row>
    <row r="877" ht="13.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</row>
    <row r="878" ht="13.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</row>
    <row r="879" ht="13.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</row>
    <row r="880" ht="13.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</row>
    <row r="881" ht="13.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</row>
    <row r="882" ht="13.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</row>
    <row r="883" ht="13.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</row>
    <row r="884" ht="13.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</row>
    <row r="885" ht="13.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</row>
    <row r="886" ht="13.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</row>
    <row r="887" ht="13.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</row>
    <row r="888" ht="13.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</row>
    <row r="889" ht="13.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</row>
    <row r="890" ht="13.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</row>
    <row r="891" ht="13.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</row>
    <row r="892" ht="13.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</row>
    <row r="893" ht="13.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</row>
    <row r="894" ht="13.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</row>
    <row r="895" ht="13.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</row>
    <row r="896" ht="13.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</row>
    <row r="897" ht="13.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</row>
    <row r="898" ht="13.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</row>
    <row r="899" ht="13.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</row>
    <row r="900" ht="13.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</row>
    <row r="901" ht="13.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</row>
    <row r="902" ht="13.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</row>
    <row r="903" ht="13.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</row>
    <row r="904" ht="13.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</row>
    <row r="905" ht="13.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</row>
    <row r="906" ht="13.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</row>
    <row r="907" ht="13.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</row>
    <row r="908" ht="13.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</row>
    <row r="909" ht="13.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</row>
    <row r="910" ht="13.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</row>
    <row r="911" ht="13.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</row>
    <row r="912" ht="13.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</row>
    <row r="913" ht="13.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</row>
    <row r="914" ht="13.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</row>
    <row r="915" ht="13.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</row>
    <row r="916" ht="13.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</row>
    <row r="917" ht="13.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</row>
    <row r="918" ht="13.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</row>
    <row r="919" ht="13.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</row>
    <row r="920" ht="13.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</row>
    <row r="921" ht="13.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</row>
    <row r="922" ht="13.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</row>
    <row r="923" ht="13.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</row>
    <row r="924" ht="13.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</row>
    <row r="925" ht="13.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</row>
    <row r="926" ht="13.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</row>
    <row r="927" ht="13.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</row>
    <row r="928" ht="13.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</row>
    <row r="929" ht="13.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</row>
    <row r="930" ht="13.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</row>
    <row r="931" ht="13.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</row>
    <row r="932" ht="13.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</row>
    <row r="933" ht="13.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</row>
    <row r="934" ht="13.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</row>
    <row r="935" ht="13.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</row>
    <row r="936" ht="13.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</row>
    <row r="937" ht="13.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</row>
    <row r="938" ht="13.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</row>
    <row r="939" ht="13.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</row>
    <row r="940" ht="13.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</row>
    <row r="941" ht="13.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</row>
    <row r="942" ht="13.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</row>
    <row r="943" ht="13.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</row>
    <row r="944" ht="13.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</row>
    <row r="945" ht="13.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</row>
    <row r="946" ht="13.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</row>
    <row r="947" ht="13.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</row>
    <row r="948" ht="13.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</row>
    <row r="949" ht="13.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</row>
    <row r="950" ht="13.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</row>
    <row r="951" ht="13.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</row>
    <row r="952" ht="13.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</row>
    <row r="953" ht="13.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</row>
    <row r="954" ht="13.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</row>
    <row r="955" ht="13.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</row>
    <row r="956" ht="13.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</row>
    <row r="957" ht="13.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</row>
    <row r="958" ht="13.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</row>
    <row r="959" ht="13.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</row>
    <row r="960" ht="13.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</row>
    <row r="961" ht="13.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</row>
    <row r="962" ht="13.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</row>
    <row r="963" ht="13.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</row>
    <row r="964" ht="13.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</row>
    <row r="965" ht="13.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</row>
    <row r="966" ht="13.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</row>
    <row r="967" ht="13.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</row>
    <row r="968" ht="13.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</row>
    <row r="969" ht="13.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</row>
    <row r="970" ht="13.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</row>
    <row r="971" ht="13.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</row>
    <row r="972" ht="13.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</row>
    <row r="973" ht="13.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</row>
    <row r="974" ht="13.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</row>
    <row r="975" ht="13.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</row>
    <row r="976" ht="13.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</row>
    <row r="977" ht="13.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</row>
    <row r="978" ht="13.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</row>
    <row r="979" ht="13.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</row>
    <row r="980" ht="13.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</row>
    <row r="981" ht="13.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</row>
    <row r="982" ht="13.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</row>
    <row r="983" ht="13.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</row>
    <row r="984" ht="13.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</row>
    <row r="985" ht="13.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</row>
    <row r="986" ht="13.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</row>
    <row r="987" ht="13.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</row>
    <row r="988" ht="13.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</row>
    <row r="989" ht="13.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</row>
    <row r="990" ht="13.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</row>
    <row r="991" ht="13.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</row>
    <row r="992" ht="13.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</row>
    <row r="993" ht="13.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</row>
    <row r="994" ht="13.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</row>
    <row r="995" ht="13.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</row>
    <row r="996" ht="13.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</row>
    <row r="997" ht="13.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</row>
    <row r="998" ht="13.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</row>
    <row r="999" ht="13.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</row>
    <row r="1000" ht="13.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</row>
  </sheetData>
  <mergeCells count="2">
    <mergeCell ref="A1:J1"/>
    <mergeCell ref="A2:J2"/>
  </mergeCells>
  <dataValidations>
    <dataValidation type="list" allowBlank="1" sqref="C24:C53">
      <formula1>"Yoga/Pilates/Gym,Văn phòng/HR,Spa/Salon,KOC,Beauty/Fashion Shop,Mẹ/Bếp sạch,Khác"</formula1>
    </dataValidation>
    <dataValidation type="list" allowBlank="1" sqref="I24:I53">
      <formula1>"Chưa bắt đầu,Đang làm,Đã ký,Tạm dừng,Không phù hợp"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22.0"/>
    <col customWidth="1" min="4" max="4" width="42.0"/>
    <col customWidth="1" min="5" max="5" width="22.0"/>
    <col customWidth="1" min="6" max="7" width="18.0"/>
    <col customWidth="1" min="8" max="8" width="20.0"/>
    <col customWidth="1" min="9" max="9" width="18.0"/>
    <col customWidth="1" min="10" max="10" width="24.0"/>
  </cols>
  <sheetData>
    <row r="1" ht="27.0" customHeight="1">
      <c r="A1" s="1" t="s">
        <v>251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6" t="s">
        <v>252</v>
      </c>
      <c r="B2" s="2"/>
      <c r="C2" s="2"/>
      <c r="D2" s="2"/>
      <c r="E2" s="2"/>
      <c r="F2" s="2"/>
      <c r="G2" s="2"/>
      <c r="H2" s="2"/>
      <c r="I2" s="2"/>
      <c r="J2" s="3"/>
    </row>
    <row r="3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</row>
    <row r="4" ht="18.75" customHeight="1">
      <c r="A4" s="44" t="s">
        <v>253</v>
      </c>
      <c r="B4" s="44" t="s">
        <v>114</v>
      </c>
      <c r="C4" s="44" t="s">
        <v>254</v>
      </c>
      <c r="D4" s="44" t="s">
        <v>255</v>
      </c>
      <c r="E4" s="44" t="s">
        <v>118</v>
      </c>
      <c r="F4" s="44" t="s">
        <v>256</v>
      </c>
      <c r="G4" s="44" t="s">
        <v>121</v>
      </c>
      <c r="H4" s="44" t="s">
        <v>257</v>
      </c>
      <c r="I4" s="44" t="s">
        <v>258</v>
      </c>
      <c r="J4" s="44" t="s">
        <v>31</v>
      </c>
    </row>
    <row r="5" ht="13.5" customHeight="1">
      <c r="A5" s="45">
        <v>1.0</v>
      </c>
      <c r="B5" s="45" t="s">
        <v>259</v>
      </c>
      <c r="C5" s="45" t="s">
        <v>260</v>
      </c>
      <c r="D5" s="45" t="s">
        <v>261</v>
      </c>
      <c r="E5" s="45" t="s">
        <v>262</v>
      </c>
      <c r="F5" s="45"/>
      <c r="G5" s="45" t="s">
        <v>128</v>
      </c>
      <c r="H5" s="45"/>
      <c r="I5" s="45"/>
      <c r="J5" s="45"/>
    </row>
    <row r="6" ht="13.5" customHeight="1">
      <c r="A6" s="45">
        <v>2.0</v>
      </c>
      <c r="B6" s="45" t="s">
        <v>259</v>
      </c>
      <c r="C6" s="45" t="s">
        <v>263</v>
      </c>
      <c r="D6" s="45" t="s">
        <v>264</v>
      </c>
      <c r="E6" s="45" t="s">
        <v>265</v>
      </c>
      <c r="F6" s="45"/>
      <c r="G6" s="45" t="s">
        <v>128</v>
      </c>
      <c r="H6" s="45"/>
      <c r="I6" s="45"/>
      <c r="J6" s="45"/>
    </row>
    <row r="7" ht="13.5" customHeight="1">
      <c r="A7" s="45">
        <v>3.0</v>
      </c>
      <c r="B7" s="45" t="s">
        <v>259</v>
      </c>
      <c r="C7" s="45" t="s">
        <v>266</v>
      </c>
      <c r="D7" s="45" t="s">
        <v>267</v>
      </c>
      <c r="E7" s="45" t="s">
        <v>268</v>
      </c>
      <c r="F7" s="45"/>
      <c r="G7" s="45" t="s">
        <v>128</v>
      </c>
      <c r="H7" s="45"/>
      <c r="I7" s="45"/>
      <c r="J7" s="45"/>
    </row>
    <row r="8" ht="13.5" customHeight="1">
      <c r="A8" s="45">
        <v>4.0</v>
      </c>
      <c r="B8" s="45" t="s">
        <v>259</v>
      </c>
      <c r="C8" s="45" t="s">
        <v>269</v>
      </c>
      <c r="D8" s="45" t="s">
        <v>270</v>
      </c>
      <c r="E8" s="45" t="s">
        <v>271</v>
      </c>
      <c r="F8" s="45"/>
      <c r="G8" s="45" t="s">
        <v>128</v>
      </c>
      <c r="H8" s="45"/>
      <c r="I8" s="45"/>
      <c r="J8" s="45"/>
    </row>
    <row r="9" ht="13.5" customHeight="1">
      <c r="A9" s="45">
        <v>5.0</v>
      </c>
      <c r="B9" s="45" t="s">
        <v>259</v>
      </c>
      <c r="C9" s="45" t="s">
        <v>272</v>
      </c>
      <c r="D9" s="45" t="s">
        <v>273</v>
      </c>
      <c r="E9" s="45" t="s">
        <v>274</v>
      </c>
      <c r="F9" s="45"/>
      <c r="G9" s="45" t="s">
        <v>128</v>
      </c>
      <c r="H9" s="45"/>
      <c r="I9" s="45"/>
      <c r="J9" s="45"/>
    </row>
    <row r="10" ht="13.5" customHeight="1">
      <c r="A10" s="45">
        <v>6.0</v>
      </c>
      <c r="B10" s="45" t="s">
        <v>275</v>
      </c>
      <c r="C10" s="45" t="s">
        <v>263</v>
      </c>
      <c r="D10" s="45" t="s">
        <v>276</v>
      </c>
      <c r="E10" s="45" t="s">
        <v>277</v>
      </c>
      <c r="F10" s="45"/>
      <c r="G10" s="45" t="s">
        <v>128</v>
      </c>
      <c r="H10" s="45"/>
      <c r="I10" s="45"/>
      <c r="J10" s="45"/>
    </row>
    <row r="11" ht="13.5" customHeight="1">
      <c r="A11" s="45">
        <v>7.0</v>
      </c>
      <c r="B11" s="45" t="s">
        <v>275</v>
      </c>
      <c r="C11" s="45" t="s">
        <v>278</v>
      </c>
      <c r="D11" s="45" t="s">
        <v>279</v>
      </c>
      <c r="E11" s="45" t="s">
        <v>268</v>
      </c>
      <c r="F11" s="45"/>
      <c r="G11" s="45" t="s">
        <v>128</v>
      </c>
      <c r="H11" s="45"/>
      <c r="I11" s="45"/>
      <c r="J11" s="45"/>
    </row>
    <row r="12" ht="13.5" customHeight="1">
      <c r="A12" s="45">
        <v>8.0</v>
      </c>
      <c r="B12" s="45" t="s">
        <v>275</v>
      </c>
      <c r="C12" s="45" t="s">
        <v>280</v>
      </c>
      <c r="D12" s="45" t="s">
        <v>281</v>
      </c>
      <c r="E12" s="45" t="s">
        <v>282</v>
      </c>
      <c r="F12" s="45"/>
      <c r="G12" s="45" t="s">
        <v>128</v>
      </c>
      <c r="H12" s="45"/>
      <c r="I12" s="45"/>
      <c r="J12" s="45"/>
    </row>
    <row r="13" ht="13.5" customHeight="1">
      <c r="A13" s="45">
        <v>9.0</v>
      </c>
      <c r="B13" s="45" t="s">
        <v>275</v>
      </c>
      <c r="C13" s="45" t="s">
        <v>283</v>
      </c>
      <c r="D13" s="45" t="s">
        <v>284</v>
      </c>
      <c r="E13" s="45" t="s">
        <v>285</v>
      </c>
      <c r="F13" s="45"/>
      <c r="G13" s="45" t="s">
        <v>128</v>
      </c>
      <c r="H13" s="45"/>
      <c r="I13" s="45"/>
      <c r="J13" s="45"/>
    </row>
    <row r="14" ht="13.5" customHeight="1">
      <c r="A14" s="45">
        <v>10.0</v>
      </c>
      <c r="B14" s="45" t="s">
        <v>275</v>
      </c>
      <c r="C14" s="45" t="s">
        <v>286</v>
      </c>
      <c r="D14" s="45" t="s">
        <v>287</v>
      </c>
      <c r="E14" s="45" t="s">
        <v>285</v>
      </c>
      <c r="F14" s="45"/>
      <c r="G14" s="45" t="s">
        <v>128</v>
      </c>
      <c r="H14" s="45"/>
      <c r="I14" s="45"/>
      <c r="J14" s="45"/>
    </row>
    <row r="15" ht="13.5" customHeight="1">
      <c r="A15" s="45">
        <v>11.0</v>
      </c>
      <c r="B15" s="45" t="s">
        <v>275</v>
      </c>
      <c r="C15" s="45" t="s">
        <v>288</v>
      </c>
      <c r="D15" s="45" t="s">
        <v>289</v>
      </c>
      <c r="E15" s="45" t="s">
        <v>290</v>
      </c>
      <c r="F15" s="45"/>
      <c r="G15" s="45" t="s">
        <v>128</v>
      </c>
      <c r="H15" s="45"/>
      <c r="I15" s="45"/>
      <c r="J15" s="45"/>
    </row>
    <row r="16" ht="13.5" customHeight="1">
      <c r="A16" s="45">
        <v>12.0</v>
      </c>
      <c r="B16" s="45" t="s">
        <v>275</v>
      </c>
      <c r="C16" s="45" t="s">
        <v>291</v>
      </c>
      <c r="D16" s="45" t="s">
        <v>292</v>
      </c>
      <c r="E16" s="45" t="s">
        <v>293</v>
      </c>
      <c r="F16" s="45"/>
      <c r="G16" s="45" t="s">
        <v>128</v>
      </c>
      <c r="H16" s="45"/>
      <c r="I16" s="45"/>
      <c r="J16" s="45"/>
    </row>
    <row r="17" ht="13.5" customHeight="1">
      <c r="A17" s="45">
        <v>13.0</v>
      </c>
      <c r="B17" s="45" t="s">
        <v>275</v>
      </c>
      <c r="C17" s="45" t="s">
        <v>294</v>
      </c>
      <c r="D17" s="45" t="s">
        <v>295</v>
      </c>
      <c r="E17" s="45" t="s">
        <v>296</v>
      </c>
      <c r="F17" s="45"/>
      <c r="G17" s="45" t="s">
        <v>128</v>
      </c>
      <c r="H17" s="45"/>
      <c r="I17" s="45"/>
      <c r="J17" s="45"/>
    </row>
    <row r="18" ht="13.5" customHeight="1">
      <c r="A18" s="45">
        <v>14.0</v>
      </c>
      <c r="B18" s="45" t="s">
        <v>275</v>
      </c>
      <c r="C18" s="45" t="s">
        <v>263</v>
      </c>
      <c r="D18" s="45" t="s">
        <v>297</v>
      </c>
      <c r="E18" s="45" t="s">
        <v>298</v>
      </c>
      <c r="F18" s="45"/>
      <c r="G18" s="45" t="s">
        <v>128</v>
      </c>
      <c r="H18" s="45"/>
      <c r="I18" s="45"/>
      <c r="J18" s="45"/>
    </row>
    <row r="19" ht="13.5" customHeight="1">
      <c r="A19" s="45">
        <v>15.0</v>
      </c>
      <c r="B19" s="45" t="s">
        <v>283</v>
      </c>
      <c r="C19" s="45" t="s">
        <v>286</v>
      </c>
      <c r="D19" s="45" t="s">
        <v>299</v>
      </c>
      <c r="E19" s="45" t="s">
        <v>285</v>
      </c>
      <c r="F19" s="45"/>
      <c r="G19" s="45" t="s">
        <v>128</v>
      </c>
      <c r="H19" s="45"/>
      <c r="I19" s="45"/>
      <c r="J19" s="45"/>
    </row>
    <row r="20" ht="13.5" customHeight="1">
      <c r="A20" s="45">
        <v>16.0</v>
      </c>
      <c r="B20" s="45" t="s">
        <v>283</v>
      </c>
      <c r="C20" s="45" t="s">
        <v>280</v>
      </c>
      <c r="D20" s="45" t="s">
        <v>300</v>
      </c>
      <c r="E20" s="45" t="s">
        <v>301</v>
      </c>
      <c r="F20" s="45"/>
      <c r="G20" s="45" t="s">
        <v>128</v>
      </c>
      <c r="H20" s="45"/>
      <c r="I20" s="45"/>
      <c r="J20" s="45"/>
    </row>
    <row r="21" ht="13.5" customHeight="1">
      <c r="A21" s="45">
        <v>17.0</v>
      </c>
      <c r="B21" s="45" t="s">
        <v>283</v>
      </c>
      <c r="C21" s="45" t="s">
        <v>278</v>
      </c>
      <c r="D21" s="45" t="s">
        <v>302</v>
      </c>
      <c r="E21" s="45" t="s">
        <v>303</v>
      </c>
      <c r="F21" s="45"/>
      <c r="G21" s="45" t="s">
        <v>128</v>
      </c>
      <c r="H21" s="45"/>
      <c r="I21" s="45"/>
      <c r="J21" s="45"/>
    </row>
    <row r="22" ht="13.5" customHeight="1">
      <c r="A22" s="45">
        <v>18.0</v>
      </c>
      <c r="B22" s="45" t="s">
        <v>283</v>
      </c>
      <c r="C22" s="45" t="s">
        <v>288</v>
      </c>
      <c r="D22" s="45" t="s">
        <v>304</v>
      </c>
      <c r="E22" s="45" t="s">
        <v>290</v>
      </c>
      <c r="F22" s="45"/>
      <c r="G22" s="45" t="s">
        <v>128</v>
      </c>
      <c r="H22" s="45"/>
      <c r="I22" s="45"/>
      <c r="J22" s="45"/>
    </row>
    <row r="23" ht="13.5" customHeight="1">
      <c r="A23" s="45">
        <v>19.0</v>
      </c>
      <c r="B23" s="45" t="s">
        <v>305</v>
      </c>
      <c r="C23" s="45" t="s">
        <v>306</v>
      </c>
      <c r="D23" s="45" t="s">
        <v>307</v>
      </c>
      <c r="E23" s="45" t="s">
        <v>308</v>
      </c>
      <c r="F23" s="45"/>
      <c r="G23" s="45" t="s">
        <v>128</v>
      </c>
      <c r="H23" s="45"/>
      <c r="I23" s="45"/>
      <c r="J23" s="45"/>
    </row>
    <row r="24" ht="13.5" customHeight="1">
      <c r="A24" s="45">
        <v>20.0</v>
      </c>
      <c r="B24" s="45" t="s">
        <v>305</v>
      </c>
      <c r="C24" s="45" t="s">
        <v>306</v>
      </c>
      <c r="D24" s="45" t="s">
        <v>309</v>
      </c>
      <c r="E24" s="45" t="s">
        <v>268</v>
      </c>
      <c r="F24" s="45"/>
      <c r="G24" s="45" t="s">
        <v>128</v>
      </c>
      <c r="H24" s="45"/>
      <c r="I24" s="45"/>
      <c r="J24" s="45"/>
    </row>
    <row r="25" ht="13.5" customHeight="1">
      <c r="A25" s="45">
        <v>21.0</v>
      </c>
      <c r="B25" s="45" t="s">
        <v>305</v>
      </c>
      <c r="C25" s="45" t="s">
        <v>263</v>
      </c>
      <c r="D25" s="45" t="s">
        <v>310</v>
      </c>
      <c r="E25" s="45" t="s">
        <v>311</v>
      </c>
      <c r="F25" s="45"/>
      <c r="G25" s="45" t="s">
        <v>128</v>
      </c>
      <c r="H25" s="45"/>
      <c r="I25" s="45"/>
      <c r="J25" s="45"/>
    </row>
    <row r="26" ht="13.5" customHeight="1">
      <c r="A26" s="45">
        <v>22.0</v>
      </c>
      <c r="B26" s="45" t="s">
        <v>305</v>
      </c>
      <c r="C26" s="45" t="s">
        <v>312</v>
      </c>
      <c r="D26" s="45" t="s">
        <v>313</v>
      </c>
      <c r="E26" s="45" t="s">
        <v>314</v>
      </c>
      <c r="F26" s="45"/>
      <c r="G26" s="45" t="s">
        <v>128</v>
      </c>
      <c r="H26" s="45"/>
      <c r="I26" s="45"/>
      <c r="J26" s="45"/>
    </row>
    <row r="27" ht="13.5" customHeight="1">
      <c r="A27" s="45">
        <v>23.0</v>
      </c>
      <c r="B27" s="45" t="s">
        <v>305</v>
      </c>
      <c r="C27" s="45" t="s">
        <v>286</v>
      </c>
      <c r="D27" s="45" t="s">
        <v>315</v>
      </c>
      <c r="E27" s="45" t="s">
        <v>285</v>
      </c>
      <c r="F27" s="45"/>
      <c r="G27" s="45" t="s">
        <v>128</v>
      </c>
      <c r="H27" s="45"/>
      <c r="I27" s="45"/>
      <c r="J27" s="45"/>
    </row>
    <row r="28" ht="13.5" customHeight="1">
      <c r="A28" s="45">
        <v>24.0</v>
      </c>
      <c r="B28" s="45" t="s">
        <v>305</v>
      </c>
      <c r="C28" s="45" t="s">
        <v>280</v>
      </c>
      <c r="D28" s="45" t="s">
        <v>316</v>
      </c>
      <c r="E28" s="45" t="s">
        <v>282</v>
      </c>
      <c r="F28" s="45"/>
      <c r="G28" s="45" t="s">
        <v>128</v>
      </c>
      <c r="H28" s="45"/>
      <c r="I28" s="45"/>
      <c r="J28" s="45"/>
    </row>
    <row r="29" ht="13.5" customHeight="1">
      <c r="A29" s="45">
        <v>25.0</v>
      </c>
      <c r="B29" s="45" t="s">
        <v>317</v>
      </c>
      <c r="C29" s="45" t="s">
        <v>318</v>
      </c>
      <c r="D29" s="45" t="s">
        <v>319</v>
      </c>
      <c r="E29" s="45" t="s">
        <v>308</v>
      </c>
      <c r="F29" s="45"/>
      <c r="G29" s="45" t="s">
        <v>128</v>
      </c>
      <c r="H29" s="45"/>
      <c r="I29" s="45"/>
      <c r="J29" s="45"/>
    </row>
    <row r="30" ht="13.5" customHeight="1">
      <c r="A30" s="45">
        <v>26.0</v>
      </c>
      <c r="B30" s="45" t="s">
        <v>317</v>
      </c>
      <c r="C30" s="45" t="s">
        <v>320</v>
      </c>
      <c r="D30" s="45" t="s">
        <v>321</v>
      </c>
      <c r="E30" s="45" t="s">
        <v>285</v>
      </c>
      <c r="F30" s="45"/>
      <c r="G30" s="45" t="s">
        <v>128</v>
      </c>
      <c r="H30" s="45"/>
      <c r="I30" s="45"/>
      <c r="J30" s="45"/>
    </row>
    <row r="31" ht="13.5" customHeight="1">
      <c r="A31" s="45">
        <v>27.0</v>
      </c>
      <c r="B31" s="45" t="s">
        <v>317</v>
      </c>
      <c r="C31" s="45" t="s">
        <v>294</v>
      </c>
      <c r="D31" s="45" t="s">
        <v>322</v>
      </c>
      <c r="E31" s="45" t="s">
        <v>323</v>
      </c>
      <c r="F31" s="45"/>
      <c r="G31" s="45" t="s">
        <v>128</v>
      </c>
      <c r="H31" s="45"/>
      <c r="I31" s="45"/>
      <c r="J31" s="45"/>
    </row>
    <row r="32" ht="13.5" customHeight="1">
      <c r="A32" s="45">
        <v>28.0</v>
      </c>
      <c r="B32" s="45" t="s">
        <v>317</v>
      </c>
      <c r="C32" s="45" t="s">
        <v>291</v>
      </c>
      <c r="D32" s="45" t="s">
        <v>324</v>
      </c>
      <c r="E32" s="45" t="s">
        <v>325</v>
      </c>
      <c r="F32" s="45"/>
      <c r="G32" s="45" t="s">
        <v>128</v>
      </c>
      <c r="H32" s="45"/>
      <c r="I32" s="45"/>
      <c r="J32" s="45"/>
    </row>
    <row r="33" ht="13.5" customHeight="1">
      <c r="A33" s="45">
        <v>29.0</v>
      </c>
      <c r="B33" s="45" t="s">
        <v>317</v>
      </c>
      <c r="C33" s="45" t="s">
        <v>326</v>
      </c>
      <c r="D33" s="45" t="s">
        <v>327</v>
      </c>
      <c r="E33" s="45" t="s">
        <v>328</v>
      </c>
      <c r="F33" s="45"/>
      <c r="G33" s="45" t="s">
        <v>128</v>
      </c>
      <c r="H33" s="45"/>
      <c r="I33" s="45"/>
      <c r="J33" s="45"/>
    </row>
    <row r="34" ht="13.5" customHeight="1">
      <c r="A34" s="45">
        <v>30.0</v>
      </c>
      <c r="B34" s="45" t="s">
        <v>329</v>
      </c>
      <c r="C34" s="45" t="s">
        <v>330</v>
      </c>
      <c r="D34" s="45" t="s">
        <v>331</v>
      </c>
      <c r="E34" s="45" t="s">
        <v>332</v>
      </c>
      <c r="F34" s="45"/>
      <c r="G34" s="45" t="s">
        <v>128</v>
      </c>
      <c r="H34" s="45"/>
      <c r="I34" s="45"/>
      <c r="J34" s="45"/>
    </row>
    <row r="3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J1"/>
    <mergeCell ref="A2:J2"/>
  </mergeCells>
  <conditionalFormatting sqref="G5:G34">
    <cfRule type="expression" dxfId="4" priority="1">
      <formula>G5="Đã đăng"</formula>
    </cfRule>
  </conditionalFormatting>
  <conditionalFormatting sqref="G5:G34">
    <cfRule type="expression" dxfId="5" priority="2">
      <formula>G5="Đang làm"</formula>
    </cfRule>
  </conditionalFormatting>
  <conditionalFormatting sqref="G5:G34">
    <cfRule type="expression" dxfId="6" priority="3">
      <formula>G5="Blocked"</formula>
    </cfRule>
  </conditionalFormatting>
  <dataValidations>
    <dataValidation type="list" allowBlank="1" sqref="G5:G34">
      <formula1>"Chưa bắt đầu,Đang làm,Đã lên lịch,Đã đăng,Blocked"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4" width="16.0"/>
    <col customWidth="1" min="5" max="9" width="14.0"/>
    <col customWidth="1" min="10" max="12" width="16.0"/>
    <col customWidth="1" min="13" max="13" width="18.0"/>
    <col customWidth="1" min="14" max="16" width="16.0"/>
    <col customWidth="1" min="17" max="17" width="18.0"/>
    <col customWidth="1" min="18" max="19" width="14.0"/>
    <col customWidth="1" min="20" max="20" width="12.0"/>
    <col customWidth="1" min="21" max="21" width="24.0"/>
  </cols>
  <sheetData>
    <row r="1" ht="27.0" customHeight="1">
      <c r="A1" s="38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21.75" customHeight="1">
      <c r="A2" s="39" t="s">
        <v>334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13.5" customHeigh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>
      <c r="A4" s="44" t="s">
        <v>253</v>
      </c>
      <c r="B4" s="44" t="s">
        <v>335</v>
      </c>
      <c r="C4" s="44" t="s">
        <v>218</v>
      </c>
      <c r="D4" s="44" t="s">
        <v>72</v>
      </c>
      <c r="E4" s="44" t="s">
        <v>336</v>
      </c>
      <c r="F4" s="44" t="s">
        <v>337</v>
      </c>
      <c r="G4" s="44" t="s">
        <v>338</v>
      </c>
      <c r="H4" s="44" t="s">
        <v>339</v>
      </c>
      <c r="I4" s="44" t="s">
        <v>107</v>
      </c>
      <c r="J4" s="44" t="s">
        <v>340</v>
      </c>
      <c r="K4" s="44" t="s">
        <v>341</v>
      </c>
      <c r="L4" s="44" t="s">
        <v>342</v>
      </c>
      <c r="M4" s="44" t="s">
        <v>343</v>
      </c>
      <c r="N4" s="44" t="s">
        <v>344</v>
      </c>
      <c r="O4" s="44" t="s">
        <v>345</v>
      </c>
      <c r="P4" s="44" t="s">
        <v>346</v>
      </c>
      <c r="Q4" s="44" t="s">
        <v>347</v>
      </c>
      <c r="R4" s="44" t="s">
        <v>348</v>
      </c>
      <c r="S4" s="44" t="s">
        <v>349</v>
      </c>
      <c r="T4" s="44" t="s">
        <v>350</v>
      </c>
      <c r="U4" s="44" t="s">
        <v>31</v>
      </c>
    </row>
    <row r="5" ht="13.5" customHeight="1">
      <c r="A5" s="48">
        <v>46160.0</v>
      </c>
      <c r="B5" s="45" t="s">
        <v>351</v>
      </c>
      <c r="C5" s="49">
        <v>0.0</v>
      </c>
      <c r="D5" s="49">
        <v>0.0</v>
      </c>
      <c r="E5" s="49">
        <v>0.0</v>
      </c>
      <c r="F5" s="49">
        <v>0.0</v>
      </c>
      <c r="G5" s="50">
        <v>0.0</v>
      </c>
      <c r="H5" s="50">
        <v>0.0</v>
      </c>
      <c r="I5" s="49">
        <v>0.0</v>
      </c>
      <c r="J5" s="46">
        <f>C5*'01 Offer Pricing'!$B$5+D5*'01 Offer Pricing'!$B$6</f>
        <v>0</v>
      </c>
      <c r="K5" s="46">
        <f>H5*'01 Offer Pricing'!$B$7</f>
        <v>0</v>
      </c>
      <c r="L5" s="46">
        <f>I5*'01 Offer Pricing'!$B$8</f>
        <v>0</v>
      </c>
      <c r="M5" s="46">
        <f t="shared" ref="M5:M34" si="1">SUM(J5:L5)</f>
        <v>0</v>
      </c>
      <c r="N5" s="46">
        <f>H5*'01 Offer Pricing'!$B$9</f>
        <v>0</v>
      </c>
      <c r="O5" s="46">
        <f>I5*'01 Offer Pricing'!$B$10</f>
        <v>0</v>
      </c>
      <c r="P5" s="46">
        <f>C5*'01 Offer Pricing'!$B$11+D5*'01 Offer Pricing'!$B$12</f>
        <v>0</v>
      </c>
      <c r="Q5" s="46">
        <f t="shared" ref="Q5:Q34" si="2">M5-N5-O5-P5</f>
        <v>0</v>
      </c>
      <c r="R5" s="49">
        <v>0.0</v>
      </c>
      <c r="S5" s="51">
        <v>0.9</v>
      </c>
      <c r="T5" s="49">
        <v>0.0</v>
      </c>
      <c r="U5" s="45"/>
    </row>
    <row r="6" ht="13.5" customHeight="1">
      <c r="A6" s="48">
        <v>46161.0</v>
      </c>
      <c r="B6" s="45" t="s">
        <v>352</v>
      </c>
      <c r="C6" s="49">
        <v>0.0</v>
      </c>
      <c r="D6" s="49">
        <v>0.0</v>
      </c>
      <c r="E6" s="49">
        <v>0.0</v>
      </c>
      <c r="F6" s="49">
        <v>0.0</v>
      </c>
      <c r="G6" s="49">
        <v>0.0</v>
      </c>
      <c r="H6" s="50">
        <v>0.0</v>
      </c>
      <c r="I6" s="50">
        <v>0.0</v>
      </c>
      <c r="J6" s="46">
        <f>C6*'01 Offer Pricing'!$B$5+D6*'01 Offer Pricing'!$B$6</f>
        <v>0</v>
      </c>
      <c r="K6" s="46">
        <f>H6*'01 Offer Pricing'!$B$7</f>
        <v>0</v>
      </c>
      <c r="L6" s="46">
        <f>I6*'01 Offer Pricing'!$B$8</f>
        <v>0</v>
      </c>
      <c r="M6" s="46">
        <f t="shared" si="1"/>
        <v>0</v>
      </c>
      <c r="N6" s="46">
        <f>H6*'01 Offer Pricing'!$B$9</f>
        <v>0</v>
      </c>
      <c r="O6" s="46">
        <f>I6*'01 Offer Pricing'!$B$10</f>
        <v>0</v>
      </c>
      <c r="P6" s="46">
        <f>C6*'01 Offer Pricing'!$B$11+D6*'01 Offer Pricing'!$B$12</f>
        <v>0</v>
      </c>
      <c r="Q6" s="46">
        <f t="shared" si="2"/>
        <v>0</v>
      </c>
      <c r="R6" s="49">
        <v>0.0</v>
      </c>
      <c r="S6" s="51">
        <v>0.9</v>
      </c>
      <c r="T6" s="49">
        <v>0.0</v>
      </c>
      <c r="U6" s="45"/>
    </row>
    <row r="7" ht="13.5" customHeight="1">
      <c r="A7" s="48">
        <v>46162.0</v>
      </c>
      <c r="B7" s="45" t="s">
        <v>353</v>
      </c>
      <c r="C7" s="49">
        <v>0.0</v>
      </c>
      <c r="D7" s="49">
        <v>0.0</v>
      </c>
      <c r="E7" s="49">
        <v>0.0</v>
      </c>
      <c r="F7" s="49">
        <v>0.0</v>
      </c>
      <c r="G7" s="49">
        <v>0.0</v>
      </c>
      <c r="H7" s="49">
        <f t="shared" ref="H7:H34" si="3">SUM(E7:G7)</f>
        <v>0</v>
      </c>
      <c r="I7" s="49">
        <v>0.0</v>
      </c>
      <c r="J7" s="46">
        <f>C7*'01 Offer Pricing'!$B$5+D7*'01 Offer Pricing'!$B$6</f>
        <v>0</v>
      </c>
      <c r="K7" s="46">
        <f>H7*'01 Offer Pricing'!$B$7</f>
        <v>0</v>
      </c>
      <c r="L7" s="46">
        <f>I7*'01 Offer Pricing'!$B$8</f>
        <v>0</v>
      </c>
      <c r="M7" s="46">
        <f t="shared" si="1"/>
        <v>0</v>
      </c>
      <c r="N7" s="46">
        <f>H7*'01 Offer Pricing'!$B$9</f>
        <v>0</v>
      </c>
      <c r="O7" s="46">
        <f>I7*'01 Offer Pricing'!$B$10</f>
        <v>0</v>
      </c>
      <c r="P7" s="46">
        <f>C7*'01 Offer Pricing'!$B$11+D7*'01 Offer Pricing'!$B$12</f>
        <v>0</v>
      </c>
      <c r="Q7" s="46">
        <f t="shared" si="2"/>
        <v>0</v>
      </c>
      <c r="R7" s="49">
        <v>0.0</v>
      </c>
      <c r="S7" s="51">
        <v>0.9</v>
      </c>
      <c r="T7" s="49">
        <v>0.0</v>
      </c>
      <c r="U7" s="45"/>
    </row>
    <row r="8" ht="13.5" customHeight="1">
      <c r="A8" s="48">
        <v>46163.0</v>
      </c>
      <c r="B8" s="45" t="s">
        <v>354</v>
      </c>
      <c r="C8" s="49">
        <v>0.0</v>
      </c>
      <c r="D8" s="49">
        <v>0.0</v>
      </c>
      <c r="E8" s="49">
        <v>0.0</v>
      </c>
      <c r="F8" s="49">
        <v>0.0</v>
      </c>
      <c r="G8" s="49">
        <v>0.0</v>
      </c>
      <c r="H8" s="49">
        <f t="shared" si="3"/>
        <v>0</v>
      </c>
      <c r="I8" s="49">
        <v>0.0</v>
      </c>
      <c r="J8" s="46">
        <f>C8*'01 Offer Pricing'!$B$5+D8*'01 Offer Pricing'!$B$6</f>
        <v>0</v>
      </c>
      <c r="K8" s="46">
        <f>H8*'01 Offer Pricing'!$B$7</f>
        <v>0</v>
      </c>
      <c r="L8" s="46">
        <f>I8*'01 Offer Pricing'!$B$8</f>
        <v>0</v>
      </c>
      <c r="M8" s="46">
        <f t="shared" si="1"/>
        <v>0</v>
      </c>
      <c r="N8" s="46">
        <f>H8*'01 Offer Pricing'!$B$9</f>
        <v>0</v>
      </c>
      <c r="O8" s="46">
        <f>I8*'01 Offer Pricing'!$B$10</f>
        <v>0</v>
      </c>
      <c r="P8" s="46">
        <f>C8*'01 Offer Pricing'!$B$11+D8*'01 Offer Pricing'!$B$12</f>
        <v>0</v>
      </c>
      <c r="Q8" s="46">
        <f t="shared" si="2"/>
        <v>0</v>
      </c>
      <c r="R8" s="49">
        <v>0.0</v>
      </c>
      <c r="S8" s="51">
        <v>0.9</v>
      </c>
      <c r="T8" s="49">
        <v>0.0</v>
      </c>
      <c r="U8" s="45"/>
    </row>
    <row r="9" ht="13.5" customHeight="1">
      <c r="A9" s="48">
        <v>46164.0</v>
      </c>
      <c r="B9" s="45" t="s">
        <v>355</v>
      </c>
      <c r="C9" s="49">
        <v>0.0</v>
      </c>
      <c r="D9" s="49">
        <v>0.0</v>
      </c>
      <c r="E9" s="49">
        <v>0.0</v>
      </c>
      <c r="F9" s="49">
        <v>0.0</v>
      </c>
      <c r="G9" s="49">
        <v>0.0</v>
      </c>
      <c r="H9" s="49">
        <f t="shared" si="3"/>
        <v>0</v>
      </c>
      <c r="I9" s="49">
        <v>0.0</v>
      </c>
      <c r="J9" s="46">
        <f>C9*'01 Offer Pricing'!$B$5+D9*'01 Offer Pricing'!$B$6</f>
        <v>0</v>
      </c>
      <c r="K9" s="46">
        <f>H9*'01 Offer Pricing'!$B$7</f>
        <v>0</v>
      </c>
      <c r="L9" s="46">
        <f>I9*'01 Offer Pricing'!$B$8</f>
        <v>0</v>
      </c>
      <c r="M9" s="46">
        <f t="shared" si="1"/>
        <v>0</v>
      </c>
      <c r="N9" s="46">
        <f>H9*'01 Offer Pricing'!$B$9</f>
        <v>0</v>
      </c>
      <c r="O9" s="46">
        <f>I9*'01 Offer Pricing'!$B$10</f>
        <v>0</v>
      </c>
      <c r="P9" s="46">
        <f>C9*'01 Offer Pricing'!$B$11+D9*'01 Offer Pricing'!$B$12</f>
        <v>0</v>
      </c>
      <c r="Q9" s="46">
        <f t="shared" si="2"/>
        <v>0</v>
      </c>
      <c r="R9" s="49">
        <v>0.0</v>
      </c>
      <c r="S9" s="51">
        <v>0.9</v>
      </c>
      <c r="T9" s="49">
        <v>0.0</v>
      </c>
      <c r="U9" s="45"/>
    </row>
    <row r="10" ht="13.5" customHeight="1">
      <c r="A10" s="48">
        <v>46165.0</v>
      </c>
      <c r="B10" s="45" t="s">
        <v>356</v>
      </c>
      <c r="C10" s="49">
        <v>0.0</v>
      </c>
      <c r="D10" s="49">
        <v>0.0</v>
      </c>
      <c r="E10" s="49">
        <v>0.0</v>
      </c>
      <c r="F10" s="49">
        <v>0.0</v>
      </c>
      <c r="G10" s="49">
        <v>0.0</v>
      </c>
      <c r="H10" s="49">
        <f t="shared" si="3"/>
        <v>0</v>
      </c>
      <c r="I10" s="49">
        <v>0.0</v>
      </c>
      <c r="J10" s="46">
        <f>C10*'01 Offer Pricing'!$B$5+D10*'01 Offer Pricing'!$B$6</f>
        <v>0</v>
      </c>
      <c r="K10" s="46">
        <f>H10*'01 Offer Pricing'!$B$7</f>
        <v>0</v>
      </c>
      <c r="L10" s="46">
        <f>I10*'01 Offer Pricing'!$B$8</f>
        <v>0</v>
      </c>
      <c r="M10" s="46">
        <f t="shared" si="1"/>
        <v>0</v>
      </c>
      <c r="N10" s="46">
        <f>H10*'01 Offer Pricing'!$B$9</f>
        <v>0</v>
      </c>
      <c r="O10" s="46">
        <f>I10*'01 Offer Pricing'!$B$10</f>
        <v>0</v>
      </c>
      <c r="P10" s="46">
        <f>C10*'01 Offer Pricing'!$B$11+D10*'01 Offer Pricing'!$B$12</f>
        <v>0</v>
      </c>
      <c r="Q10" s="46">
        <f t="shared" si="2"/>
        <v>0</v>
      </c>
      <c r="R10" s="49">
        <v>0.0</v>
      </c>
      <c r="S10" s="51">
        <v>0.9</v>
      </c>
      <c r="T10" s="49">
        <v>0.0</v>
      </c>
      <c r="U10" s="45"/>
    </row>
    <row r="11" ht="13.5" customHeight="1">
      <c r="A11" s="48">
        <v>46166.0</v>
      </c>
      <c r="B11" s="45" t="s">
        <v>357</v>
      </c>
      <c r="C11" s="49">
        <v>0.0</v>
      </c>
      <c r="D11" s="49">
        <v>0.0</v>
      </c>
      <c r="E11" s="49">
        <v>0.0</v>
      </c>
      <c r="F11" s="49">
        <v>0.0</v>
      </c>
      <c r="G11" s="49">
        <v>0.0</v>
      </c>
      <c r="H11" s="49">
        <f t="shared" si="3"/>
        <v>0</v>
      </c>
      <c r="I11" s="49">
        <v>0.0</v>
      </c>
      <c r="J11" s="46">
        <f>C11*'01 Offer Pricing'!$B$5+D11*'01 Offer Pricing'!$B$6</f>
        <v>0</v>
      </c>
      <c r="K11" s="46">
        <f>H11*'01 Offer Pricing'!$B$7</f>
        <v>0</v>
      </c>
      <c r="L11" s="46">
        <f>I11*'01 Offer Pricing'!$B$8</f>
        <v>0</v>
      </c>
      <c r="M11" s="46">
        <f t="shared" si="1"/>
        <v>0</v>
      </c>
      <c r="N11" s="46">
        <f>H11*'01 Offer Pricing'!$B$9</f>
        <v>0</v>
      </c>
      <c r="O11" s="46">
        <f>I11*'01 Offer Pricing'!$B$10</f>
        <v>0</v>
      </c>
      <c r="P11" s="46">
        <f>C11*'01 Offer Pricing'!$B$11+D11*'01 Offer Pricing'!$B$12</f>
        <v>0</v>
      </c>
      <c r="Q11" s="46">
        <f t="shared" si="2"/>
        <v>0</v>
      </c>
      <c r="R11" s="49">
        <v>0.0</v>
      </c>
      <c r="S11" s="51">
        <v>0.9</v>
      </c>
      <c r="T11" s="49">
        <v>0.0</v>
      </c>
      <c r="U11" s="45"/>
    </row>
    <row r="12" ht="13.5" customHeight="1">
      <c r="A12" s="48">
        <v>46167.0</v>
      </c>
      <c r="B12" s="45" t="s">
        <v>351</v>
      </c>
      <c r="C12" s="49">
        <v>0.0</v>
      </c>
      <c r="D12" s="49">
        <v>0.0</v>
      </c>
      <c r="E12" s="49">
        <v>0.0</v>
      </c>
      <c r="F12" s="49">
        <v>0.0</v>
      </c>
      <c r="G12" s="49">
        <v>0.0</v>
      </c>
      <c r="H12" s="49">
        <f t="shared" si="3"/>
        <v>0</v>
      </c>
      <c r="I12" s="49">
        <v>0.0</v>
      </c>
      <c r="J12" s="46">
        <f>C12*'01 Offer Pricing'!$B$5+D12*'01 Offer Pricing'!$B$6</f>
        <v>0</v>
      </c>
      <c r="K12" s="46">
        <f>H12*'01 Offer Pricing'!$B$7</f>
        <v>0</v>
      </c>
      <c r="L12" s="46">
        <f>I12*'01 Offer Pricing'!$B$8</f>
        <v>0</v>
      </c>
      <c r="M12" s="46">
        <f t="shared" si="1"/>
        <v>0</v>
      </c>
      <c r="N12" s="46">
        <f>H12*'01 Offer Pricing'!$B$9</f>
        <v>0</v>
      </c>
      <c r="O12" s="46">
        <f>I12*'01 Offer Pricing'!$B$10</f>
        <v>0</v>
      </c>
      <c r="P12" s="46">
        <f>C12*'01 Offer Pricing'!$B$11+D12*'01 Offer Pricing'!$B$12</f>
        <v>0</v>
      </c>
      <c r="Q12" s="46">
        <f t="shared" si="2"/>
        <v>0</v>
      </c>
      <c r="R12" s="49">
        <v>0.0</v>
      </c>
      <c r="S12" s="51">
        <v>0.9</v>
      </c>
      <c r="T12" s="49">
        <v>0.0</v>
      </c>
      <c r="U12" s="45"/>
    </row>
    <row r="13" ht="13.5" customHeight="1">
      <c r="A13" s="48">
        <v>46168.0</v>
      </c>
      <c r="B13" s="45" t="s">
        <v>352</v>
      </c>
      <c r="C13" s="49">
        <v>0.0</v>
      </c>
      <c r="D13" s="49">
        <v>0.0</v>
      </c>
      <c r="E13" s="49">
        <v>0.0</v>
      </c>
      <c r="F13" s="49">
        <v>0.0</v>
      </c>
      <c r="G13" s="49">
        <v>0.0</v>
      </c>
      <c r="H13" s="49">
        <f t="shared" si="3"/>
        <v>0</v>
      </c>
      <c r="I13" s="49">
        <v>0.0</v>
      </c>
      <c r="J13" s="46">
        <f>C13*'01 Offer Pricing'!$B$5+D13*'01 Offer Pricing'!$B$6</f>
        <v>0</v>
      </c>
      <c r="K13" s="46">
        <f>H13*'01 Offer Pricing'!$B$7</f>
        <v>0</v>
      </c>
      <c r="L13" s="46">
        <f>I13*'01 Offer Pricing'!$B$8</f>
        <v>0</v>
      </c>
      <c r="M13" s="46">
        <f t="shared" si="1"/>
        <v>0</v>
      </c>
      <c r="N13" s="46">
        <f>H13*'01 Offer Pricing'!$B$9</f>
        <v>0</v>
      </c>
      <c r="O13" s="46">
        <f>I13*'01 Offer Pricing'!$B$10</f>
        <v>0</v>
      </c>
      <c r="P13" s="46">
        <f>C13*'01 Offer Pricing'!$B$11+D13*'01 Offer Pricing'!$B$12</f>
        <v>0</v>
      </c>
      <c r="Q13" s="46">
        <f t="shared" si="2"/>
        <v>0</v>
      </c>
      <c r="R13" s="49">
        <v>0.0</v>
      </c>
      <c r="S13" s="51">
        <v>0.9</v>
      </c>
      <c r="T13" s="49">
        <v>0.0</v>
      </c>
      <c r="U13" s="45"/>
    </row>
    <row r="14" ht="13.5" customHeight="1">
      <c r="A14" s="48">
        <v>46169.0</v>
      </c>
      <c r="B14" s="45" t="s">
        <v>353</v>
      </c>
      <c r="C14" s="49">
        <v>0.0</v>
      </c>
      <c r="D14" s="49">
        <v>0.0</v>
      </c>
      <c r="E14" s="49">
        <v>0.0</v>
      </c>
      <c r="F14" s="49">
        <v>0.0</v>
      </c>
      <c r="G14" s="49">
        <v>0.0</v>
      </c>
      <c r="H14" s="49">
        <f t="shared" si="3"/>
        <v>0</v>
      </c>
      <c r="I14" s="49">
        <v>0.0</v>
      </c>
      <c r="J14" s="46">
        <f>C14*'01 Offer Pricing'!$B$5+D14*'01 Offer Pricing'!$B$6</f>
        <v>0</v>
      </c>
      <c r="K14" s="46">
        <f>H14*'01 Offer Pricing'!$B$7</f>
        <v>0</v>
      </c>
      <c r="L14" s="46">
        <f>I14*'01 Offer Pricing'!$B$8</f>
        <v>0</v>
      </c>
      <c r="M14" s="46">
        <f t="shared" si="1"/>
        <v>0</v>
      </c>
      <c r="N14" s="46">
        <f>H14*'01 Offer Pricing'!$B$9</f>
        <v>0</v>
      </c>
      <c r="O14" s="46">
        <f>I14*'01 Offer Pricing'!$B$10</f>
        <v>0</v>
      </c>
      <c r="P14" s="46">
        <f>C14*'01 Offer Pricing'!$B$11+D14*'01 Offer Pricing'!$B$12</f>
        <v>0</v>
      </c>
      <c r="Q14" s="46">
        <f t="shared" si="2"/>
        <v>0</v>
      </c>
      <c r="R14" s="49">
        <v>0.0</v>
      </c>
      <c r="S14" s="51">
        <v>0.9</v>
      </c>
      <c r="T14" s="49">
        <v>0.0</v>
      </c>
      <c r="U14" s="45"/>
    </row>
    <row r="15" ht="13.5" customHeight="1">
      <c r="A15" s="48">
        <v>46170.0</v>
      </c>
      <c r="B15" s="45" t="s">
        <v>354</v>
      </c>
      <c r="C15" s="49">
        <v>0.0</v>
      </c>
      <c r="D15" s="49">
        <v>0.0</v>
      </c>
      <c r="E15" s="49">
        <v>0.0</v>
      </c>
      <c r="F15" s="49">
        <v>0.0</v>
      </c>
      <c r="G15" s="49">
        <v>0.0</v>
      </c>
      <c r="H15" s="49">
        <f t="shared" si="3"/>
        <v>0</v>
      </c>
      <c r="I15" s="49">
        <v>0.0</v>
      </c>
      <c r="J15" s="46">
        <f>C15*'01 Offer Pricing'!$B$5+D15*'01 Offer Pricing'!$B$6</f>
        <v>0</v>
      </c>
      <c r="K15" s="46">
        <f>H15*'01 Offer Pricing'!$B$7</f>
        <v>0</v>
      </c>
      <c r="L15" s="46">
        <f>I15*'01 Offer Pricing'!$B$8</f>
        <v>0</v>
      </c>
      <c r="M15" s="46">
        <f t="shared" si="1"/>
        <v>0</v>
      </c>
      <c r="N15" s="46">
        <f>H15*'01 Offer Pricing'!$B$9</f>
        <v>0</v>
      </c>
      <c r="O15" s="46">
        <f>I15*'01 Offer Pricing'!$B$10</f>
        <v>0</v>
      </c>
      <c r="P15" s="46">
        <f>C15*'01 Offer Pricing'!$B$11+D15*'01 Offer Pricing'!$B$12</f>
        <v>0</v>
      </c>
      <c r="Q15" s="46">
        <f t="shared" si="2"/>
        <v>0</v>
      </c>
      <c r="R15" s="49">
        <v>0.0</v>
      </c>
      <c r="S15" s="51">
        <v>0.9</v>
      </c>
      <c r="T15" s="49">
        <v>0.0</v>
      </c>
      <c r="U15" s="45"/>
    </row>
    <row r="16" ht="13.5" customHeight="1">
      <c r="A16" s="48">
        <v>46171.0</v>
      </c>
      <c r="B16" s="45" t="s">
        <v>355</v>
      </c>
      <c r="C16" s="49">
        <v>0.0</v>
      </c>
      <c r="D16" s="49">
        <v>0.0</v>
      </c>
      <c r="E16" s="49">
        <v>0.0</v>
      </c>
      <c r="F16" s="49">
        <v>0.0</v>
      </c>
      <c r="G16" s="49">
        <v>0.0</v>
      </c>
      <c r="H16" s="49">
        <f t="shared" si="3"/>
        <v>0</v>
      </c>
      <c r="I16" s="49">
        <v>0.0</v>
      </c>
      <c r="J16" s="46">
        <f>C16*'01 Offer Pricing'!$B$5+D16*'01 Offer Pricing'!$B$6</f>
        <v>0</v>
      </c>
      <c r="K16" s="46">
        <f>H16*'01 Offer Pricing'!$B$7</f>
        <v>0</v>
      </c>
      <c r="L16" s="46">
        <f>I16*'01 Offer Pricing'!$B$8</f>
        <v>0</v>
      </c>
      <c r="M16" s="46">
        <f t="shared" si="1"/>
        <v>0</v>
      </c>
      <c r="N16" s="46">
        <f>H16*'01 Offer Pricing'!$B$9</f>
        <v>0</v>
      </c>
      <c r="O16" s="46">
        <f>I16*'01 Offer Pricing'!$B$10</f>
        <v>0</v>
      </c>
      <c r="P16" s="46">
        <f>C16*'01 Offer Pricing'!$B$11+D16*'01 Offer Pricing'!$B$12</f>
        <v>0</v>
      </c>
      <c r="Q16" s="46">
        <f t="shared" si="2"/>
        <v>0</v>
      </c>
      <c r="R16" s="49">
        <v>0.0</v>
      </c>
      <c r="S16" s="51">
        <v>0.9</v>
      </c>
      <c r="T16" s="49">
        <v>0.0</v>
      </c>
      <c r="U16" s="45"/>
    </row>
    <row r="17" ht="13.5" customHeight="1">
      <c r="A17" s="48">
        <v>46172.0</v>
      </c>
      <c r="B17" s="45" t="s">
        <v>356</v>
      </c>
      <c r="C17" s="49">
        <v>0.0</v>
      </c>
      <c r="D17" s="49">
        <v>0.0</v>
      </c>
      <c r="E17" s="49">
        <v>0.0</v>
      </c>
      <c r="F17" s="49">
        <v>0.0</v>
      </c>
      <c r="G17" s="49">
        <v>0.0</v>
      </c>
      <c r="H17" s="49">
        <f t="shared" si="3"/>
        <v>0</v>
      </c>
      <c r="I17" s="49">
        <v>0.0</v>
      </c>
      <c r="J17" s="46">
        <f>C17*'01 Offer Pricing'!$B$5+D17*'01 Offer Pricing'!$B$6</f>
        <v>0</v>
      </c>
      <c r="K17" s="46">
        <f>H17*'01 Offer Pricing'!$B$7</f>
        <v>0</v>
      </c>
      <c r="L17" s="46">
        <f>I17*'01 Offer Pricing'!$B$8</f>
        <v>0</v>
      </c>
      <c r="M17" s="46">
        <f t="shared" si="1"/>
        <v>0</v>
      </c>
      <c r="N17" s="46">
        <f>H17*'01 Offer Pricing'!$B$9</f>
        <v>0</v>
      </c>
      <c r="O17" s="46">
        <f>I17*'01 Offer Pricing'!$B$10</f>
        <v>0</v>
      </c>
      <c r="P17" s="46">
        <f>C17*'01 Offer Pricing'!$B$11+D17*'01 Offer Pricing'!$B$12</f>
        <v>0</v>
      </c>
      <c r="Q17" s="46">
        <f t="shared" si="2"/>
        <v>0</v>
      </c>
      <c r="R17" s="49">
        <v>0.0</v>
      </c>
      <c r="S17" s="51">
        <v>0.9</v>
      </c>
      <c r="T17" s="49">
        <v>0.0</v>
      </c>
      <c r="U17" s="45"/>
    </row>
    <row r="18" ht="13.5" customHeight="1">
      <c r="A18" s="48">
        <v>46173.0</v>
      </c>
      <c r="B18" s="45" t="s">
        <v>357</v>
      </c>
      <c r="C18" s="49">
        <v>0.0</v>
      </c>
      <c r="D18" s="49">
        <v>0.0</v>
      </c>
      <c r="E18" s="49">
        <v>0.0</v>
      </c>
      <c r="F18" s="49">
        <v>0.0</v>
      </c>
      <c r="G18" s="49">
        <v>0.0</v>
      </c>
      <c r="H18" s="49">
        <f t="shared" si="3"/>
        <v>0</v>
      </c>
      <c r="I18" s="49">
        <v>0.0</v>
      </c>
      <c r="J18" s="46">
        <f>C18*'01 Offer Pricing'!$B$5+D18*'01 Offer Pricing'!$B$6</f>
        <v>0</v>
      </c>
      <c r="K18" s="46">
        <f>H18*'01 Offer Pricing'!$B$7</f>
        <v>0</v>
      </c>
      <c r="L18" s="46">
        <f>I18*'01 Offer Pricing'!$B$8</f>
        <v>0</v>
      </c>
      <c r="M18" s="46">
        <f t="shared" si="1"/>
        <v>0</v>
      </c>
      <c r="N18" s="46">
        <f>H18*'01 Offer Pricing'!$B$9</f>
        <v>0</v>
      </c>
      <c r="O18" s="46">
        <f>I18*'01 Offer Pricing'!$B$10</f>
        <v>0</v>
      </c>
      <c r="P18" s="46">
        <f>C18*'01 Offer Pricing'!$B$11+D18*'01 Offer Pricing'!$B$12</f>
        <v>0</v>
      </c>
      <c r="Q18" s="46">
        <f t="shared" si="2"/>
        <v>0</v>
      </c>
      <c r="R18" s="49">
        <v>0.0</v>
      </c>
      <c r="S18" s="51">
        <v>0.9</v>
      </c>
      <c r="T18" s="49">
        <v>0.0</v>
      </c>
      <c r="U18" s="45"/>
    </row>
    <row r="19" ht="13.5" customHeight="1">
      <c r="A19" s="48">
        <v>46174.0</v>
      </c>
      <c r="B19" s="45" t="s">
        <v>351</v>
      </c>
      <c r="C19" s="49">
        <v>0.0</v>
      </c>
      <c r="D19" s="49">
        <v>0.0</v>
      </c>
      <c r="E19" s="49">
        <v>0.0</v>
      </c>
      <c r="F19" s="49">
        <v>0.0</v>
      </c>
      <c r="G19" s="49">
        <v>0.0</v>
      </c>
      <c r="H19" s="49">
        <f t="shared" si="3"/>
        <v>0</v>
      </c>
      <c r="I19" s="49">
        <v>0.0</v>
      </c>
      <c r="J19" s="46">
        <f>C19*'01 Offer Pricing'!$B$5+D19*'01 Offer Pricing'!$B$6</f>
        <v>0</v>
      </c>
      <c r="K19" s="46">
        <f>H19*'01 Offer Pricing'!$B$7</f>
        <v>0</v>
      </c>
      <c r="L19" s="46">
        <f>I19*'01 Offer Pricing'!$B$8</f>
        <v>0</v>
      </c>
      <c r="M19" s="46">
        <f t="shared" si="1"/>
        <v>0</v>
      </c>
      <c r="N19" s="46">
        <f>H19*'01 Offer Pricing'!$B$9</f>
        <v>0</v>
      </c>
      <c r="O19" s="46">
        <f>I19*'01 Offer Pricing'!$B$10</f>
        <v>0</v>
      </c>
      <c r="P19" s="46">
        <f>C19*'01 Offer Pricing'!$B$11+D19*'01 Offer Pricing'!$B$12</f>
        <v>0</v>
      </c>
      <c r="Q19" s="46">
        <f t="shared" si="2"/>
        <v>0</v>
      </c>
      <c r="R19" s="49">
        <v>0.0</v>
      </c>
      <c r="S19" s="51">
        <v>0.9</v>
      </c>
      <c r="T19" s="49">
        <v>0.0</v>
      </c>
      <c r="U19" s="45"/>
    </row>
    <row r="20" ht="13.5" customHeight="1">
      <c r="A20" s="48">
        <v>46175.0</v>
      </c>
      <c r="B20" s="45" t="s">
        <v>352</v>
      </c>
      <c r="C20" s="49">
        <v>0.0</v>
      </c>
      <c r="D20" s="49">
        <v>0.0</v>
      </c>
      <c r="E20" s="49">
        <v>0.0</v>
      </c>
      <c r="F20" s="49">
        <v>0.0</v>
      </c>
      <c r="G20" s="49">
        <v>0.0</v>
      </c>
      <c r="H20" s="49">
        <f t="shared" si="3"/>
        <v>0</v>
      </c>
      <c r="I20" s="49">
        <v>0.0</v>
      </c>
      <c r="J20" s="46">
        <f>C20*'01 Offer Pricing'!$B$5+D20*'01 Offer Pricing'!$B$6</f>
        <v>0</v>
      </c>
      <c r="K20" s="46">
        <f>H20*'01 Offer Pricing'!$B$7</f>
        <v>0</v>
      </c>
      <c r="L20" s="46">
        <f>I20*'01 Offer Pricing'!$B$8</f>
        <v>0</v>
      </c>
      <c r="M20" s="46">
        <f t="shared" si="1"/>
        <v>0</v>
      </c>
      <c r="N20" s="46">
        <f>H20*'01 Offer Pricing'!$B$9</f>
        <v>0</v>
      </c>
      <c r="O20" s="46">
        <f>I20*'01 Offer Pricing'!$B$10</f>
        <v>0</v>
      </c>
      <c r="P20" s="46">
        <f>C20*'01 Offer Pricing'!$B$11+D20*'01 Offer Pricing'!$B$12</f>
        <v>0</v>
      </c>
      <c r="Q20" s="46">
        <f t="shared" si="2"/>
        <v>0</v>
      </c>
      <c r="R20" s="49">
        <v>0.0</v>
      </c>
      <c r="S20" s="51">
        <v>0.9</v>
      </c>
      <c r="T20" s="49">
        <v>0.0</v>
      </c>
      <c r="U20" s="45"/>
    </row>
    <row r="21" ht="13.5" customHeight="1">
      <c r="A21" s="48">
        <v>46176.0</v>
      </c>
      <c r="B21" s="45" t="s">
        <v>353</v>
      </c>
      <c r="C21" s="49">
        <v>0.0</v>
      </c>
      <c r="D21" s="49">
        <v>0.0</v>
      </c>
      <c r="E21" s="49">
        <v>0.0</v>
      </c>
      <c r="F21" s="49">
        <v>0.0</v>
      </c>
      <c r="G21" s="49">
        <v>0.0</v>
      </c>
      <c r="H21" s="49">
        <f t="shared" si="3"/>
        <v>0</v>
      </c>
      <c r="I21" s="49">
        <v>0.0</v>
      </c>
      <c r="J21" s="46">
        <f>C21*'01 Offer Pricing'!$B$5+D21*'01 Offer Pricing'!$B$6</f>
        <v>0</v>
      </c>
      <c r="K21" s="46">
        <f>H21*'01 Offer Pricing'!$B$7</f>
        <v>0</v>
      </c>
      <c r="L21" s="46">
        <f>I21*'01 Offer Pricing'!$B$8</f>
        <v>0</v>
      </c>
      <c r="M21" s="46">
        <f t="shared" si="1"/>
        <v>0</v>
      </c>
      <c r="N21" s="46">
        <f>H21*'01 Offer Pricing'!$B$9</f>
        <v>0</v>
      </c>
      <c r="O21" s="46">
        <f>I21*'01 Offer Pricing'!$B$10</f>
        <v>0</v>
      </c>
      <c r="P21" s="46">
        <f>C21*'01 Offer Pricing'!$B$11+D21*'01 Offer Pricing'!$B$12</f>
        <v>0</v>
      </c>
      <c r="Q21" s="46">
        <f t="shared" si="2"/>
        <v>0</v>
      </c>
      <c r="R21" s="49">
        <v>0.0</v>
      </c>
      <c r="S21" s="51">
        <v>0.9</v>
      </c>
      <c r="T21" s="49">
        <v>0.0</v>
      </c>
      <c r="U21" s="45"/>
    </row>
    <row r="22" ht="13.5" customHeight="1">
      <c r="A22" s="48">
        <v>46177.0</v>
      </c>
      <c r="B22" s="45" t="s">
        <v>354</v>
      </c>
      <c r="C22" s="49">
        <v>0.0</v>
      </c>
      <c r="D22" s="49">
        <v>0.0</v>
      </c>
      <c r="E22" s="49">
        <v>0.0</v>
      </c>
      <c r="F22" s="49">
        <v>0.0</v>
      </c>
      <c r="G22" s="49">
        <v>0.0</v>
      </c>
      <c r="H22" s="49">
        <f t="shared" si="3"/>
        <v>0</v>
      </c>
      <c r="I22" s="49">
        <v>0.0</v>
      </c>
      <c r="J22" s="46">
        <f>C22*'01 Offer Pricing'!$B$5+D22*'01 Offer Pricing'!$B$6</f>
        <v>0</v>
      </c>
      <c r="K22" s="46">
        <f>H22*'01 Offer Pricing'!$B$7</f>
        <v>0</v>
      </c>
      <c r="L22" s="46">
        <f>I22*'01 Offer Pricing'!$B$8</f>
        <v>0</v>
      </c>
      <c r="M22" s="46">
        <f t="shared" si="1"/>
        <v>0</v>
      </c>
      <c r="N22" s="46">
        <f>H22*'01 Offer Pricing'!$B$9</f>
        <v>0</v>
      </c>
      <c r="O22" s="46">
        <f>I22*'01 Offer Pricing'!$B$10</f>
        <v>0</v>
      </c>
      <c r="P22" s="46">
        <f>C22*'01 Offer Pricing'!$B$11+D22*'01 Offer Pricing'!$B$12</f>
        <v>0</v>
      </c>
      <c r="Q22" s="46">
        <f t="shared" si="2"/>
        <v>0</v>
      </c>
      <c r="R22" s="49">
        <v>0.0</v>
      </c>
      <c r="S22" s="51">
        <v>0.9</v>
      </c>
      <c r="T22" s="49">
        <v>0.0</v>
      </c>
      <c r="U22" s="45"/>
    </row>
    <row r="23" ht="13.5" customHeight="1">
      <c r="A23" s="48">
        <v>46178.0</v>
      </c>
      <c r="B23" s="45" t="s">
        <v>355</v>
      </c>
      <c r="C23" s="49">
        <v>0.0</v>
      </c>
      <c r="D23" s="49">
        <v>0.0</v>
      </c>
      <c r="E23" s="49">
        <v>0.0</v>
      </c>
      <c r="F23" s="49">
        <v>0.0</v>
      </c>
      <c r="G23" s="49">
        <v>0.0</v>
      </c>
      <c r="H23" s="49">
        <f t="shared" si="3"/>
        <v>0</v>
      </c>
      <c r="I23" s="49">
        <v>0.0</v>
      </c>
      <c r="J23" s="46">
        <f>C23*'01 Offer Pricing'!$B$5+D23*'01 Offer Pricing'!$B$6</f>
        <v>0</v>
      </c>
      <c r="K23" s="46">
        <f>H23*'01 Offer Pricing'!$B$7</f>
        <v>0</v>
      </c>
      <c r="L23" s="46">
        <f>I23*'01 Offer Pricing'!$B$8</f>
        <v>0</v>
      </c>
      <c r="M23" s="46">
        <f t="shared" si="1"/>
        <v>0</v>
      </c>
      <c r="N23" s="46">
        <f>H23*'01 Offer Pricing'!$B$9</f>
        <v>0</v>
      </c>
      <c r="O23" s="46">
        <f>I23*'01 Offer Pricing'!$B$10</f>
        <v>0</v>
      </c>
      <c r="P23" s="46">
        <f>C23*'01 Offer Pricing'!$B$11+D23*'01 Offer Pricing'!$B$12</f>
        <v>0</v>
      </c>
      <c r="Q23" s="46">
        <f t="shared" si="2"/>
        <v>0</v>
      </c>
      <c r="R23" s="49">
        <v>0.0</v>
      </c>
      <c r="S23" s="51">
        <v>0.9</v>
      </c>
      <c r="T23" s="49">
        <v>0.0</v>
      </c>
      <c r="U23" s="45"/>
    </row>
    <row r="24" ht="13.5" customHeight="1">
      <c r="A24" s="48">
        <v>46179.0</v>
      </c>
      <c r="B24" s="45" t="s">
        <v>356</v>
      </c>
      <c r="C24" s="49">
        <v>0.0</v>
      </c>
      <c r="D24" s="49">
        <v>0.0</v>
      </c>
      <c r="E24" s="49">
        <v>0.0</v>
      </c>
      <c r="F24" s="49">
        <v>0.0</v>
      </c>
      <c r="G24" s="49">
        <v>0.0</v>
      </c>
      <c r="H24" s="49">
        <f t="shared" si="3"/>
        <v>0</v>
      </c>
      <c r="I24" s="49">
        <v>0.0</v>
      </c>
      <c r="J24" s="46">
        <f>C24*'01 Offer Pricing'!$B$5+D24*'01 Offer Pricing'!$B$6</f>
        <v>0</v>
      </c>
      <c r="K24" s="46">
        <f>H24*'01 Offer Pricing'!$B$7</f>
        <v>0</v>
      </c>
      <c r="L24" s="46">
        <f>I24*'01 Offer Pricing'!$B$8</f>
        <v>0</v>
      </c>
      <c r="M24" s="46">
        <f t="shared" si="1"/>
        <v>0</v>
      </c>
      <c r="N24" s="46">
        <f>H24*'01 Offer Pricing'!$B$9</f>
        <v>0</v>
      </c>
      <c r="O24" s="46">
        <f>I24*'01 Offer Pricing'!$B$10</f>
        <v>0</v>
      </c>
      <c r="P24" s="46">
        <f>C24*'01 Offer Pricing'!$B$11+D24*'01 Offer Pricing'!$B$12</f>
        <v>0</v>
      </c>
      <c r="Q24" s="46">
        <f t="shared" si="2"/>
        <v>0</v>
      </c>
      <c r="R24" s="49">
        <v>0.0</v>
      </c>
      <c r="S24" s="51">
        <v>0.9</v>
      </c>
      <c r="T24" s="49">
        <v>0.0</v>
      </c>
      <c r="U24" s="45"/>
    </row>
    <row r="25" ht="13.5" customHeight="1">
      <c r="A25" s="48">
        <v>46180.0</v>
      </c>
      <c r="B25" s="45" t="s">
        <v>357</v>
      </c>
      <c r="C25" s="49">
        <v>0.0</v>
      </c>
      <c r="D25" s="49">
        <v>0.0</v>
      </c>
      <c r="E25" s="49">
        <v>0.0</v>
      </c>
      <c r="F25" s="49">
        <v>0.0</v>
      </c>
      <c r="G25" s="49">
        <v>0.0</v>
      </c>
      <c r="H25" s="49">
        <f t="shared" si="3"/>
        <v>0</v>
      </c>
      <c r="I25" s="49">
        <v>0.0</v>
      </c>
      <c r="J25" s="46">
        <f>C25*'01 Offer Pricing'!$B$5+D25*'01 Offer Pricing'!$B$6</f>
        <v>0</v>
      </c>
      <c r="K25" s="46">
        <f>H25*'01 Offer Pricing'!$B$7</f>
        <v>0</v>
      </c>
      <c r="L25" s="46">
        <f>I25*'01 Offer Pricing'!$B$8</f>
        <v>0</v>
      </c>
      <c r="M25" s="46">
        <f t="shared" si="1"/>
        <v>0</v>
      </c>
      <c r="N25" s="46">
        <f>H25*'01 Offer Pricing'!$B$9</f>
        <v>0</v>
      </c>
      <c r="O25" s="46">
        <f>I25*'01 Offer Pricing'!$B$10</f>
        <v>0</v>
      </c>
      <c r="P25" s="46">
        <f>C25*'01 Offer Pricing'!$B$11+D25*'01 Offer Pricing'!$B$12</f>
        <v>0</v>
      </c>
      <c r="Q25" s="46">
        <f t="shared" si="2"/>
        <v>0</v>
      </c>
      <c r="R25" s="49">
        <v>0.0</v>
      </c>
      <c r="S25" s="51">
        <v>0.9</v>
      </c>
      <c r="T25" s="49">
        <v>0.0</v>
      </c>
      <c r="U25" s="45"/>
    </row>
    <row r="26" ht="13.5" customHeight="1">
      <c r="A26" s="48">
        <v>46181.0</v>
      </c>
      <c r="B26" s="45" t="s">
        <v>351</v>
      </c>
      <c r="C26" s="49">
        <v>0.0</v>
      </c>
      <c r="D26" s="49">
        <v>0.0</v>
      </c>
      <c r="E26" s="49">
        <v>0.0</v>
      </c>
      <c r="F26" s="49">
        <v>0.0</v>
      </c>
      <c r="G26" s="49">
        <v>0.0</v>
      </c>
      <c r="H26" s="49">
        <f t="shared" si="3"/>
        <v>0</v>
      </c>
      <c r="I26" s="49">
        <v>0.0</v>
      </c>
      <c r="J26" s="46">
        <f>C26*'01 Offer Pricing'!$B$5+D26*'01 Offer Pricing'!$B$6</f>
        <v>0</v>
      </c>
      <c r="K26" s="46">
        <f>H26*'01 Offer Pricing'!$B$7</f>
        <v>0</v>
      </c>
      <c r="L26" s="46">
        <f>I26*'01 Offer Pricing'!$B$8</f>
        <v>0</v>
      </c>
      <c r="M26" s="46">
        <f t="shared" si="1"/>
        <v>0</v>
      </c>
      <c r="N26" s="46">
        <f>H26*'01 Offer Pricing'!$B$9</f>
        <v>0</v>
      </c>
      <c r="O26" s="46">
        <f>I26*'01 Offer Pricing'!$B$10</f>
        <v>0</v>
      </c>
      <c r="P26" s="46">
        <f>C26*'01 Offer Pricing'!$B$11+D26*'01 Offer Pricing'!$B$12</f>
        <v>0</v>
      </c>
      <c r="Q26" s="46">
        <f t="shared" si="2"/>
        <v>0</v>
      </c>
      <c r="R26" s="49">
        <v>0.0</v>
      </c>
      <c r="S26" s="51">
        <v>0.9</v>
      </c>
      <c r="T26" s="49">
        <v>0.0</v>
      </c>
      <c r="U26" s="45"/>
    </row>
    <row r="27" ht="13.5" customHeight="1">
      <c r="A27" s="48">
        <v>46182.0</v>
      </c>
      <c r="B27" s="45" t="s">
        <v>352</v>
      </c>
      <c r="C27" s="49">
        <v>0.0</v>
      </c>
      <c r="D27" s="49">
        <v>0.0</v>
      </c>
      <c r="E27" s="49">
        <v>0.0</v>
      </c>
      <c r="F27" s="49">
        <v>0.0</v>
      </c>
      <c r="G27" s="49">
        <v>0.0</v>
      </c>
      <c r="H27" s="49">
        <f t="shared" si="3"/>
        <v>0</v>
      </c>
      <c r="I27" s="49">
        <v>0.0</v>
      </c>
      <c r="J27" s="46">
        <f>C27*'01 Offer Pricing'!$B$5+D27*'01 Offer Pricing'!$B$6</f>
        <v>0</v>
      </c>
      <c r="K27" s="46">
        <f>H27*'01 Offer Pricing'!$B$7</f>
        <v>0</v>
      </c>
      <c r="L27" s="46">
        <f>I27*'01 Offer Pricing'!$B$8</f>
        <v>0</v>
      </c>
      <c r="M27" s="46">
        <f t="shared" si="1"/>
        <v>0</v>
      </c>
      <c r="N27" s="46">
        <f>H27*'01 Offer Pricing'!$B$9</f>
        <v>0</v>
      </c>
      <c r="O27" s="46">
        <f>I27*'01 Offer Pricing'!$B$10</f>
        <v>0</v>
      </c>
      <c r="P27" s="46">
        <f>C27*'01 Offer Pricing'!$B$11+D27*'01 Offer Pricing'!$B$12</f>
        <v>0</v>
      </c>
      <c r="Q27" s="46">
        <f t="shared" si="2"/>
        <v>0</v>
      </c>
      <c r="R27" s="49">
        <v>0.0</v>
      </c>
      <c r="S27" s="51">
        <v>0.9</v>
      </c>
      <c r="T27" s="49">
        <v>0.0</v>
      </c>
      <c r="U27" s="45"/>
    </row>
    <row r="28" ht="13.5" customHeight="1">
      <c r="A28" s="48">
        <v>46183.0</v>
      </c>
      <c r="B28" s="45" t="s">
        <v>353</v>
      </c>
      <c r="C28" s="49">
        <v>0.0</v>
      </c>
      <c r="D28" s="49">
        <v>0.0</v>
      </c>
      <c r="E28" s="49">
        <v>0.0</v>
      </c>
      <c r="F28" s="49">
        <v>0.0</v>
      </c>
      <c r="G28" s="49">
        <v>0.0</v>
      </c>
      <c r="H28" s="49">
        <f t="shared" si="3"/>
        <v>0</v>
      </c>
      <c r="I28" s="49">
        <v>0.0</v>
      </c>
      <c r="J28" s="46">
        <f>C28*'01 Offer Pricing'!$B$5+D28*'01 Offer Pricing'!$B$6</f>
        <v>0</v>
      </c>
      <c r="K28" s="46">
        <f>H28*'01 Offer Pricing'!$B$7</f>
        <v>0</v>
      </c>
      <c r="L28" s="46">
        <f>I28*'01 Offer Pricing'!$B$8</f>
        <v>0</v>
      </c>
      <c r="M28" s="46">
        <f t="shared" si="1"/>
        <v>0</v>
      </c>
      <c r="N28" s="46">
        <f>H28*'01 Offer Pricing'!$B$9</f>
        <v>0</v>
      </c>
      <c r="O28" s="46">
        <f>I28*'01 Offer Pricing'!$B$10</f>
        <v>0</v>
      </c>
      <c r="P28" s="46">
        <f>C28*'01 Offer Pricing'!$B$11+D28*'01 Offer Pricing'!$B$12</f>
        <v>0</v>
      </c>
      <c r="Q28" s="46">
        <f t="shared" si="2"/>
        <v>0</v>
      </c>
      <c r="R28" s="49">
        <v>0.0</v>
      </c>
      <c r="S28" s="51">
        <v>0.9</v>
      </c>
      <c r="T28" s="49">
        <v>0.0</v>
      </c>
      <c r="U28" s="45"/>
    </row>
    <row r="29" ht="13.5" customHeight="1">
      <c r="A29" s="48">
        <v>46184.0</v>
      </c>
      <c r="B29" s="45" t="s">
        <v>354</v>
      </c>
      <c r="C29" s="49">
        <v>0.0</v>
      </c>
      <c r="D29" s="49">
        <v>0.0</v>
      </c>
      <c r="E29" s="49">
        <v>0.0</v>
      </c>
      <c r="F29" s="49">
        <v>0.0</v>
      </c>
      <c r="G29" s="49">
        <v>0.0</v>
      </c>
      <c r="H29" s="49">
        <f t="shared" si="3"/>
        <v>0</v>
      </c>
      <c r="I29" s="49">
        <v>0.0</v>
      </c>
      <c r="J29" s="46">
        <f>C29*'01 Offer Pricing'!$B$5+D29*'01 Offer Pricing'!$B$6</f>
        <v>0</v>
      </c>
      <c r="K29" s="46">
        <f>H29*'01 Offer Pricing'!$B$7</f>
        <v>0</v>
      </c>
      <c r="L29" s="46">
        <f>I29*'01 Offer Pricing'!$B$8</f>
        <v>0</v>
      </c>
      <c r="M29" s="46">
        <f t="shared" si="1"/>
        <v>0</v>
      </c>
      <c r="N29" s="46">
        <f>H29*'01 Offer Pricing'!$B$9</f>
        <v>0</v>
      </c>
      <c r="O29" s="46">
        <f>I29*'01 Offer Pricing'!$B$10</f>
        <v>0</v>
      </c>
      <c r="P29" s="46">
        <f>C29*'01 Offer Pricing'!$B$11+D29*'01 Offer Pricing'!$B$12</f>
        <v>0</v>
      </c>
      <c r="Q29" s="46">
        <f t="shared" si="2"/>
        <v>0</v>
      </c>
      <c r="R29" s="49">
        <v>0.0</v>
      </c>
      <c r="S29" s="51">
        <v>0.9</v>
      </c>
      <c r="T29" s="49">
        <v>0.0</v>
      </c>
      <c r="U29" s="45"/>
    </row>
    <row r="30" ht="13.5" customHeight="1">
      <c r="A30" s="48">
        <v>46185.0</v>
      </c>
      <c r="B30" s="45" t="s">
        <v>355</v>
      </c>
      <c r="C30" s="49">
        <v>0.0</v>
      </c>
      <c r="D30" s="49">
        <v>0.0</v>
      </c>
      <c r="E30" s="49">
        <v>0.0</v>
      </c>
      <c r="F30" s="49">
        <v>0.0</v>
      </c>
      <c r="G30" s="49">
        <v>0.0</v>
      </c>
      <c r="H30" s="49">
        <f t="shared" si="3"/>
        <v>0</v>
      </c>
      <c r="I30" s="49">
        <v>0.0</v>
      </c>
      <c r="J30" s="46">
        <f>C30*'01 Offer Pricing'!$B$5+D30*'01 Offer Pricing'!$B$6</f>
        <v>0</v>
      </c>
      <c r="K30" s="46">
        <f>H30*'01 Offer Pricing'!$B$7</f>
        <v>0</v>
      </c>
      <c r="L30" s="46">
        <f>I30*'01 Offer Pricing'!$B$8</f>
        <v>0</v>
      </c>
      <c r="M30" s="46">
        <f t="shared" si="1"/>
        <v>0</v>
      </c>
      <c r="N30" s="46">
        <f>H30*'01 Offer Pricing'!$B$9</f>
        <v>0</v>
      </c>
      <c r="O30" s="46">
        <f>I30*'01 Offer Pricing'!$B$10</f>
        <v>0</v>
      </c>
      <c r="P30" s="46">
        <f>C30*'01 Offer Pricing'!$B$11+D30*'01 Offer Pricing'!$B$12</f>
        <v>0</v>
      </c>
      <c r="Q30" s="46">
        <f t="shared" si="2"/>
        <v>0</v>
      </c>
      <c r="R30" s="49">
        <v>0.0</v>
      </c>
      <c r="S30" s="51">
        <v>0.9</v>
      </c>
      <c r="T30" s="49">
        <v>0.0</v>
      </c>
      <c r="U30" s="45"/>
    </row>
    <row r="31" ht="13.5" customHeight="1">
      <c r="A31" s="48">
        <v>46186.0</v>
      </c>
      <c r="B31" s="45" t="s">
        <v>356</v>
      </c>
      <c r="C31" s="49">
        <v>0.0</v>
      </c>
      <c r="D31" s="49">
        <v>0.0</v>
      </c>
      <c r="E31" s="49">
        <v>0.0</v>
      </c>
      <c r="F31" s="49">
        <v>0.0</v>
      </c>
      <c r="G31" s="49">
        <v>0.0</v>
      </c>
      <c r="H31" s="49">
        <f t="shared" si="3"/>
        <v>0</v>
      </c>
      <c r="I31" s="49">
        <v>0.0</v>
      </c>
      <c r="J31" s="46">
        <f>C31*'01 Offer Pricing'!$B$5+D31*'01 Offer Pricing'!$B$6</f>
        <v>0</v>
      </c>
      <c r="K31" s="46">
        <f>H31*'01 Offer Pricing'!$B$7</f>
        <v>0</v>
      </c>
      <c r="L31" s="46">
        <f>I31*'01 Offer Pricing'!$B$8</f>
        <v>0</v>
      </c>
      <c r="M31" s="46">
        <f t="shared" si="1"/>
        <v>0</v>
      </c>
      <c r="N31" s="46">
        <f>H31*'01 Offer Pricing'!$B$9</f>
        <v>0</v>
      </c>
      <c r="O31" s="46">
        <f>I31*'01 Offer Pricing'!$B$10</f>
        <v>0</v>
      </c>
      <c r="P31" s="46">
        <f>C31*'01 Offer Pricing'!$B$11+D31*'01 Offer Pricing'!$B$12</f>
        <v>0</v>
      </c>
      <c r="Q31" s="46">
        <f t="shared" si="2"/>
        <v>0</v>
      </c>
      <c r="R31" s="49">
        <v>0.0</v>
      </c>
      <c r="S31" s="51">
        <v>0.9</v>
      </c>
      <c r="T31" s="49">
        <v>0.0</v>
      </c>
      <c r="U31" s="45"/>
    </row>
    <row r="32" ht="13.5" customHeight="1">
      <c r="A32" s="48">
        <v>46187.0</v>
      </c>
      <c r="B32" s="45" t="s">
        <v>357</v>
      </c>
      <c r="C32" s="49">
        <v>0.0</v>
      </c>
      <c r="D32" s="49">
        <v>0.0</v>
      </c>
      <c r="E32" s="49">
        <v>0.0</v>
      </c>
      <c r="F32" s="49">
        <v>0.0</v>
      </c>
      <c r="G32" s="49">
        <v>0.0</v>
      </c>
      <c r="H32" s="49">
        <f t="shared" si="3"/>
        <v>0</v>
      </c>
      <c r="I32" s="49">
        <v>0.0</v>
      </c>
      <c r="J32" s="46">
        <f>C32*'01 Offer Pricing'!$B$5+D32*'01 Offer Pricing'!$B$6</f>
        <v>0</v>
      </c>
      <c r="K32" s="46">
        <f>H32*'01 Offer Pricing'!$B$7</f>
        <v>0</v>
      </c>
      <c r="L32" s="46">
        <f>I32*'01 Offer Pricing'!$B$8</f>
        <v>0</v>
      </c>
      <c r="M32" s="46">
        <f t="shared" si="1"/>
        <v>0</v>
      </c>
      <c r="N32" s="46">
        <f>H32*'01 Offer Pricing'!$B$9</f>
        <v>0</v>
      </c>
      <c r="O32" s="46">
        <f>I32*'01 Offer Pricing'!$B$10</f>
        <v>0</v>
      </c>
      <c r="P32" s="46">
        <f>C32*'01 Offer Pricing'!$B$11+D32*'01 Offer Pricing'!$B$12</f>
        <v>0</v>
      </c>
      <c r="Q32" s="46">
        <f t="shared" si="2"/>
        <v>0</v>
      </c>
      <c r="R32" s="49">
        <v>0.0</v>
      </c>
      <c r="S32" s="51">
        <v>0.9</v>
      </c>
      <c r="T32" s="49">
        <v>0.0</v>
      </c>
      <c r="U32" s="45"/>
    </row>
    <row r="33" ht="13.5" customHeight="1">
      <c r="A33" s="48">
        <v>46188.0</v>
      </c>
      <c r="B33" s="45" t="s">
        <v>351</v>
      </c>
      <c r="C33" s="49">
        <v>0.0</v>
      </c>
      <c r="D33" s="49">
        <v>0.0</v>
      </c>
      <c r="E33" s="49">
        <v>0.0</v>
      </c>
      <c r="F33" s="49">
        <v>0.0</v>
      </c>
      <c r="G33" s="49">
        <v>0.0</v>
      </c>
      <c r="H33" s="49">
        <f t="shared" si="3"/>
        <v>0</v>
      </c>
      <c r="I33" s="49">
        <v>0.0</v>
      </c>
      <c r="J33" s="46">
        <f>C33*'01 Offer Pricing'!$B$5+D33*'01 Offer Pricing'!$B$6</f>
        <v>0</v>
      </c>
      <c r="K33" s="46">
        <f>H33*'01 Offer Pricing'!$B$7</f>
        <v>0</v>
      </c>
      <c r="L33" s="46">
        <f>I33*'01 Offer Pricing'!$B$8</f>
        <v>0</v>
      </c>
      <c r="M33" s="46">
        <f t="shared" si="1"/>
        <v>0</v>
      </c>
      <c r="N33" s="46">
        <f>H33*'01 Offer Pricing'!$B$9</f>
        <v>0</v>
      </c>
      <c r="O33" s="46">
        <f>I33*'01 Offer Pricing'!$B$10</f>
        <v>0</v>
      </c>
      <c r="P33" s="46">
        <f>C33*'01 Offer Pricing'!$B$11+D33*'01 Offer Pricing'!$B$12</f>
        <v>0</v>
      </c>
      <c r="Q33" s="46">
        <f t="shared" si="2"/>
        <v>0</v>
      </c>
      <c r="R33" s="49">
        <v>0.0</v>
      </c>
      <c r="S33" s="51">
        <v>0.9</v>
      </c>
      <c r="T33" s="49">
        <v>0.0</v>
      </c>
      <c r="U33" s="45"/>
    </row>
    <row r="34" ht="13.5" customHeight="1">
      <c r="A34" s="48">
        <v>46189.0</v>
      </c>
      <c r="B34" s="45" t="s">
        <v>352</v>
      </c>
      <c r="C34" s="49">
        <v>0.0</v>
      </c>
      <c r="D34" s="49">
        <v>0.0</v>
      </c>
      <c r="E34" s="49">
        <v>0.0</v>
      </c>
      <c r="F34" s="49">
        <v>0.0</v>
      </c>
      <c r="G34" s="49">
        <v>0.0</v>
      </c>
      <c r="H34" s="49">
        <f t="shared" si="3"/>
        <v>0</v>
      </c>
      <c r="I34" s="49">
        <v>0.0</v>
      </c>
      <c r="J34" s="46">
        <f>C34*'01 Offer Pricing'!$B$5+D34*'01 Offer Pricing'!$B$6</f>
        <v>0</v>
      </c>
      <c r="K34" s="46">
        <f>H34*'01 Offer Pricing'!$B$7</f>
        <v>0</v>
      </c>
      <c r="L34" s="46">
        <f>I34*'01 Offer Pricing'!$B$8</f>
        <v>0</v>
      </c>
      <c r="M34" s="46">
        <f t="shared" si="1"/>
        <v>0</v>
      </c>
      <c r="N34" s="46">
        <f>H34*'01 Offer Pricing'!$B$9</f>
        <v>0</v>
      </c>
      <c r="O34" s="46">
        <f>I34*'01 Offer Pricing'!$B$10</f>
        <v>0</v>
      </c>
      <c r="P34" s="46">
        <f>C34*'01 Offer Pricing'!$B$11+D34*'01 Offer Pricing'!$B$12</f>
        <v>0</v>
      </c>
      <c r="Q34" s="46">
        <f t="shared" si="2"/>
        <v>0</v>
      </c>
      <c r="R34" s="49">
        <v>0.0</v>
      </c>
      <c r="S34" s="51">
        <v>0.9</v>
      </c>
      <c r="T34" s="49">
        <v>0.0</v>
      </c>
      <c r="U34" s="45"/>
    </row>
    <row r="35" ht="13.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</row>
    <row r="36" ht="13.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ht="13.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</row>
    <row r="38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ht="13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</row>
    <row r="40" ht="13.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</row>
    <row r="41" ht="13.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</row>
    <row r="42" ht="13.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</row>
    <row r="43" ht="13.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</row>
    <row r="44" ht="13.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</row>
    <row r="45" ht="13.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ht="13.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</row>
    <row r="47" ht="13.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</row>
    <row r="48" ht="13.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</row>
    <row r="49" ht="13.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</row>
    <row r="50" ht="13.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</row>
    <row r="51" ht="13.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</row>
    <row r="52" ht="13.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</row>
    <row r="53" ht="13.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</row>
    <row r="54" ht="13.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</row>
    <row r="55" ht="13.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</row>
    <row r="56" ht="13.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</row>
    <row r="57" ht="13.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</row>
    <row r="58" ht="13.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</row>
    <row r="59" ht="13.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</row>
    <row r="60" ht="13.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</row>
    <row r="61" ht="13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</row>
    <row r="62" ht="13.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</row>
    <row r="63" ht="13.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</row>
    <row r="64" ht="13.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</row>
    <row r="65" ht="13.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</row>
    <row r="66" ht="13.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</row>
    <row r="67" ht="13.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</row>
    <row r="68" ht="13.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</row>
    <row r="69" ht="13.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</row>
    <row r="70" ht="13.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</row>
    <row r="71" ht="13.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</row>
    <row r="72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</row>
    <row r="73" ht="13.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</row>
    <row r="74" ht="13.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</row>
    <row r="75" ht="13.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</row>
    <row r="76" ht="13.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</row>
    <row r="77" ht="13.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</row>
    <row r="78" ht="13.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</row>
    <row r="79" ht="13.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</row>
    <row r="80" ht="13.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</row>
    <row r="81" ht="13.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</row>
    <row r="82" ht="13.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</row>
    <row r="83" ht="13.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</row>
    <row r="84" ht="13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</row>
    <row r="85" ht="13.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</row>
    <row r="86" ht="13.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ht="13.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</row>
    <row r="88" ht="13.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</row>
    <row r="89" ht="13.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</row>
    <row r="90" ht="13.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</row>
    <row r="91" ht="13.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</row>
    <row r="92" ht="13.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</row>
    <row r="93" ht="13.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</row>
    <row r="94" ht="13.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</row>
    <row r="95" ht="13.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</row>
    <row r="96" ht="13.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</row>
    <row r="97" ht="13.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</row>
    <row r="98" ht="13.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</row>
    <row r="99" ht="13.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</row>
    <row r="100" ht="13.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</row>
    <row r="101" ht="13.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</row>
    <row r="102" ht="13.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</row>
    <row r="103" ht="13.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</row>
    <row r="104" ht="13.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</row>
    <row r="105" ht="13.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</row>
    <row r="106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</row>
    <row r="107" ht="13.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</row>
    <row r="108" ht="13.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</row>
    <row r="109" ht="13.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</row>
    <row r="110" ht="13.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</row>
    <row r="111" ht="13.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</row>
    <row r="112" ht="13.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</row>
    <row r="113" ht="13.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</row>
    <row r="114" ht="13.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</row>
    <row r="115" ht="13.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</row>
    <row r="116" ht="13.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</row>
    <row r="117" ht="13.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</row>
    <row r="118" ht="13.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</row>
    <row r="119" ht="13.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</row>
    <row r="120" ht="13.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</row>
    <row r="213" ht="13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</row>
    <row r="214" ht="13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 ht="13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 ht="13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 ht="13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</row>
    <row r="218" ht="13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19" ht="13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</row>
    <row r="220" ht="13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</row>
    <row r="221" ht="13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</row>
    <row r="222" ht="13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</row>
    <row r="223" ht="13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 ht="13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 ht="13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 ht="13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</row>
    <row r="227" ht="13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</row>
    <row r="228" ht="13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</row>
    <row r="229" ht="13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</row>
    <row r="230" ht="13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</row>
    <row r="231" ht="13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</row>
    <row r="232" ht="13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 ht="13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 ht="13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 ht="13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 ht="13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 ht="13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 ht="13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 ht="13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 ht="13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 ht="13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 ht="13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 ht="13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</row>
    <row r="244" ht="13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</row>
    <row r="245" ht="13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</row>
    <row r="246" ht="13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</row>
    <row r="247" ht="13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</row>
    <row r="248" ht="13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</row>
    <row r="249" ht="13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</row>
    <row r="250" ht="13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</row>
    <row r="251" ht="13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</row>
    <row r="252" ht="13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</row>
    <row r="253" ht="13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</row>
    <row r="254" ht="13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</row>
    <row r="255" ht="13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</row>
    <row r="256" ht="13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</row>
    <row r="257" ht="13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</row>
    <row r="258" ht="13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</row>
    <row r="259" ht="13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</row>
    <row r="260" ht="13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</row>
    <row r="261" ht="13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</row>
    <row r="262" ht="13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</row>
    <row r="263" ht="13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</row>
    <row r="264" ht="13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</row>
    <row r="265" ht="13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</row>
    <row r="266" ht="13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</row>
    <row r="267" ht="13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</row>
    <row r="268" ht="13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</row>
    <row r="269" ht="13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</row>
    <row r="270" ht="13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</row>
    <row r="271" ht="13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</row>
    <row r="272" ht="13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</row>
    <row r="273" ht="13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</row>
    <row r="274" ht="13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</row>
    <row r="275" ht="13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</row>
    <row r="276" ht="13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</row>
    <row r="277" ht="13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</row>
    <row r="278" ht="13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</row>
    <row r="279" ht="13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</row>
    <row r="280" ht="13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</row>
    <row r="281" ht="13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</row>
    <row r="282" ht="13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</row>
    <row r="283" ht="13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</row>
    <row r="284" ht="13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</row>
    <row r="285" ht="13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</row>
    <row r="286" ht="13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</row>
    <row r="287" ht="13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</row>
    <row r="288" ht="13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</row>
    <row r="289" ht="13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</row>
    <row r="290" ht="13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</row>
    <row r="291" ht="13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</row>
    <row r="292" ht="13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</row>
    <row r="293" ht="13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</row>
    <row r="294" ht="13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</row>
    <row r="295" ht="13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</row>
    <row r="296" ht="13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</row>
    <row r="297" ht="13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</row>
    <row r="298" ht="13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</row>
    <row r="299" ht="13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</row>
    <row r="300" ht="13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</row>
    <row r="301" ht="13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</row>
    <row r="302" ht="13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</row>
    <row r="303" ht="13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</row>
    <row r="304" ht="13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</row>
    <row r="305" ht="13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</row>
    <row r="306" ht="13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</row>
    <row r="307" ht="13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</row>
    <row r="308" ht="13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</row>
    <row r="309" ht="13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</row>
    <row r="310" ht="13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</row>
    <row r="311" ht="13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</row>
    <row r="312" ht="13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</row>
    <row r="313" ht="13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</row>
    <row r="314" ht="13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</row>
    <row r="315" ht="13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</row>
    <row r="316" ht="13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</row>
    <row r="317" ht="13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</row>
    <row r="318" ht="13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</row>
    <row r="319" ht="13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</row>
    <row r="320" ht="13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</row>
    <row r="321" ht="13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</row>
    <row r="322" ht="13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</row>
    <row r="323" ht="13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</row>
    <row r="324" ht="13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</row>
    <row r="325" ht="13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</row>
    <row r="326" ht="13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</row>
    <row r="327" ht="13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</row>
    <row r="328" ht="13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</row>
    <row r="329" ht="13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</row>
    <row r="330" ht="13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</row>
    <row r="331" ht="13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</row>
    <row r="332" ht="13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</row>
    <row r="333" ht="13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</row>
    <row r="334" ht="13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</row>
    <row r="335" ht="13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</row>
    <row r="336" ht="13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</row>
    <row r="337" ht="13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</row>
    <row r="338" ht="13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</row>
    <row r="339" ht="13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</row>
    <row r="340" ht="13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</row>
    <row r="341" ht="13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</row>
    <row r="342" ht="13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</row>
    <row r="343" ht="13.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</row>
    <row r="344" ht="13.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</row>
    <row r="345" ht="13.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</row>
    <row r="346" ht="13.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</row>
    <row r="347" ht="13.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</row>
    <row r="348" ht="13.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</row>
    <row r="349" ht="13.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</row>
    <row r="350" ht="13.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</row>
    <row r="351" ht="13.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</row>
    <row r="352" ht="13.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</row>
    <row r="353" ht="13.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</row>
    <row r="354" ht="13.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</row>
    <row r="355" ht="13.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</row>
    <row r="356" ht="13.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</row>
    <row r="357" ht="13.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</row>
    <row r="358" ht="13.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</row>
    <row r="359" ht="13.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</row>
    <row r="360" ht="13.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</row>
    <row r="361" ht="13.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</row>
    <row r="362" ht="13.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</row>
    <row r="363" ht="13.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</row>
    <row r="364" ht="13.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</row>
    <row r="365" ht="13.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</row>
    <row r="366" ht="13.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</row>
    <row r="367" ht="13.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</row>
    <row r="368" ht="13.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</row>
    <row r="369" ht="13.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</row>
    <row r="370" ht="13.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</row>
    <row r="371" ht="13.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</row>
    <row r="372" ht="13.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</row>
    <row r="373" ht="13.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</row>
    <row r="374" ht="13.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</row>
    <row r="375" ht="13.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</row>
    <row r="376" ht="13.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</row>
    <row r="377" ht="13.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</row>
    <row r="378" ht="13.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</row>
    <row r="379" ht="13.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</row>
    <row r="380" ht="13.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</row>
    <row r="381" ht="13.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</row>
    <row r="382" ht="13.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</row>
    <row r="383" ht="13.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</row>
    <row r="384" ht="13.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</row>
    <row r="385" ht="13.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</row>
    <row r="386" ht="13.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</row>
    <row r="387" ht="13.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</row>
    <row r="388" ht="13.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</row>
    <row r="389" ht="13.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</row>
    <row r="390" ht="13.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</row>
    <row r="391" ht="13.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</row>
    <row r="392" ht="13.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</row>
    <row r="393" ht="13.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</row>
    <row r="394" ht="13.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</row>
    <row r="395" ht="13.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</row>
    <row r="396" ht="13.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</row>
    <row r="397" ht="13.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</row>
    <row r="398" ht="13.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</row>
    <row r="399" ht="13.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</row>
    <row r="400" ht="13.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</row>
    <row r="401" ht="13.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</row>
    <row r="402" ht="13.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</row>
    <row r="403" ht="13.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</row>
    <row r="404" ht="13.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</row>
    <row r="405" ht="13.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</row>
    <row r="406" ht="13.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</row>
    <row r="407" ht="13.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</row>
    <row r="408" ht="13.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</row>
    <row r="409" ht="13.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</row>
    <row r="410" ht="13.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</row>
    <row r="411" ht="13.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</row>
    <row r="412" ht="13.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</row>
    <row r="413" ht="13.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</row>
    <row r="414" ht="13.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</row>
    <row r="415" ht="13.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</row>
    <row r="416" ht="13.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</row>
    <row r="417" ht="13.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</row>
    <row r="418" ht="13.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</row>
    <row r="419" ht="13.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</row>
    <row r="420" ht="13.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</row>
    <row r="421" ht="13.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</row>
    <row r="422" ht="13.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</row>
    <row r="423" ht="13.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</row>
    <row r="424" ht="13.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</row>
    <row r="425" ht="13.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</row>
    <row r="426" ht="13.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</row>
    <row r="427" ht="13.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</row>
    <row r="428" ht="13.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</row>
    <row r="429" ht="13.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</row>
    <row r="430" ht="13.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</row>
    <row r="431" ht="13.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</row>
    <row r="432" ht="13.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</row>
    <row r="433" ht="13.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</row>
    <row r="434" ht="13.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</row>
    <row r="435" ht="13.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</row>
    <row r="436" ht="13.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</row>
    <row r="437" ht="13.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</row>
    <row r="438" ht="13.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</row>
    <row r="439" ht="13.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</row>
    <row r="440" ht="13.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</row>
    <row r="441" ht="13.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</row>
    <row r="442" ht="13.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</row>
    <row r="443" ht="13.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</row>
    <row r="444" ht="13.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</row>
    <row r="445" ht="13.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</row>
    <row r="446" ht="13.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</row>
    <row r="447" ht="13.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</row>
    <row r="448" ht="13.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</row>
    <row r="449" ht="13.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</row>
    <row r="450" ht="13.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</row>
    <row r="451" ht="13.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</row>
    <row r="452" ht="13.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</row>
    <row r="453" ht="13.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</row>
    <row r="454" ht="13.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</row>
    <row r="455" ht="13.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</row>
    <row r="456" ht="13.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</row>
    <row r="457" ht="13.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</row>
    <row r="458" ht="13.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</row>
    <row r="459" ht="13.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</row>
    <row r="460" ht="13.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</row>
    <row r="461" ht="13.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</row>
    <row r="462" ht="13.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</row>
    <row r="463" ht="13.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</row>
    <row r="464" ht="13.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</row>
    <row r="465" ht="13.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</row>
    <row r="466" ht="13.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</row>
    <row r="467" ht="13.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</row>
    <row r="468" ht="13.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</row>
    <row r="469" ht="13.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</row>
    <row r="470" ht="13.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</row>
    <row r="471" ht="13.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</row>
    <row r="472" ht="13.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</row>
    <row r="473" ht="13.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</row>
    <row r="474" ht="13.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</row>
    <row r="475" ht="13.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</row>
    <row r="476" ht="13.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</row>
    <row r="477" ht="13.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</row>
    <row r="478" ht="13.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</row>
    <row r="479" ht="13.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</row>
    <row r="480" ht="13.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</row>
    <row r="481" ht="13.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</row>
    <row r="482" ht="13.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</row>
    <row r="483" ht="13.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</row>
    <row r="484" ht="13.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</row>
    <row r="485" ht="13.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</row>
    <row r="486" ht="13.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</row>
    <row r="487" ht="13.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</row>
    <row r="488" ht="13.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</row>
    <row r="489" ht="13.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</row>
    <row r="490" ht="13.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</row>
    <row r="491" ht="13.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</row>
    <row r="492" ht="13.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</row>
    <row r="493" ht="13.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</row>
    <row r="494" ht="13.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</row>
    <row r="495" ht="13.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</row>
    <row r="496" ht="13.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</row>
    <row r="497" ht="13.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</row>
    <row r="498" ht="13.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</row>
    <row r="499" ht="13.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</row>
    <row r="500" ht="13.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</row>
    <row r="501" ht="13.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</row>
    <row r="502" ht="13.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</row>
    <row r="503" ht="13.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</row>
    <row r="504" ht="13.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</row>
    <row r="505" ht="13.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</row>
    <row r="506" ht="13.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</row>
    <row r="507" ht="13.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</row>
    <row r="508" ht="13.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</row>
    <row r="509" ht="13.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</row>
    <row r="510" ht="13.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</row>
    <row r="511" ht="13.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</row>
    <row r="512" ht="13.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</row>
    <row r="513" ht="13.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</row>
    <row r="514" ht="13.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</row>
    <row r="515" ht="13.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</row>
    <row r="516" ht="13.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</row>
    <row r="517" ht="13.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</row>
    <row r="518" ht="13.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</row>
    <row r="519" ht="13.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</row>
    <row r="520" ht="13.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</row>
    <row r="521" ht="13.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</row>
    <row r="522" ht="13.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</row>
    <row r="523" ht="13.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</row>
    <row r="524" ht="13.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</row>
    <row r="525" ht="13.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</row>
    <row r="526" ht="13.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</row>
    <row r="527" ht="13.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</row>
    <row r="528" ht="13.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</row>
    <row r="529" ht="13.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</row>
    <row r="530" ht="13.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</row>
    <row r="531" ht="13.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</row>
    <row r="532" ht="13.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</row>
    <row r="533" ht="13.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</row>
    <row r="534" ht="13.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</row>
    <row r="535" ht="13.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</row>
    <row r="536" ht="13.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</row>
    <row r="537" ht="13.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</row>
    <row r="538" ht="13.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</row>
    <row r="539" ht="13.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</row>
    <row r="540" ht="13.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</row>
    <row r="541" ht="13.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</row>
    <row r="542" ht="13.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</row>
    <row r="543" ht="13.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</row>
    <row r="544" ht="13.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</row>
    <row r="545" ht="13.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</row>
    <row r="546" ht="13.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</row>
    <row r="547" ht="13.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</row>
    <row r="548" ht="13.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</row>
    <row r="549" ht="13.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</row>
    <row r="550" ht="13.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</row>
    <row r="551" ht="13.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</row>
    <row r="552" ht="13.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</row>
    <row r="553" ht="13.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</row>
    <row r="554" ht="13.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</row>
    <row r="555" ht="13.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</row>
    <row r="556" ht="13.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</row>
    <row r="557" ht="13.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</row>
    <row r="558" ht="13.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</row>
    <row r="559" ht="13.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</row>
    <row r="560" ht="13.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</row>
    <row r="561" ht="13.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</row>
    <row r="562" ht="13.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</row>
    <row r="563" ht="13.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</row>
    <row r="564" ht="13.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</row>
    <row r="565" ht="13.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</row>
    <row r="566" ht="13.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</row>
    <row r="567" ht="13.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</row>
    <row r="568" ht="13.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</row>
    <row r="569" ht="13.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</row>
    <row r="570" ht="13.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</row>
    <row r="571" ht="13.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</row>
    <row r="572" ht="13.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</row>
    <row r="573" ht="13.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</row>
    <row r="574" ht="13.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</row>
    <row r="575" ht="13.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</row>
    <row r="576" ht="13.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</row>
    <row r="577" ht="13.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</row>
    <row r="578" ht="13.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</row>
    <row r="579" ht="13.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</row>
    <row r="580" ht="13.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</row>
    <row r="581" ht="13.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</row>
    <row r="582" ht="13.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</row>
    <row r="583" ht="13.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</row>
    <row r="584" ht="13.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</row>
    <row r="585" ht="13.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</row>
    <row r="586" ht="13.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</row>
    <row r="587" ht="13.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</row>
    <row r="588" ht="13.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</row>
    <row r="589" ht="13.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</row>
    <row r="590" ht="13.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</row>
    <row r="591" ht="13.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</row>
    <row r="592" ht="13.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</row>
    <row r="593" ht="13.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</row>
    <row r="594" ht="13.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</row>
    <row r="595" ht="13.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</row>
    <row r="596" ht="13.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</row>
    <row r="597" ht="13.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</row>
    <row r="598" ht="13.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</row>
    <row r="599" ht="13.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</row>
    <row r="600" ht="13.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</row>
    <row r="601" ht="13.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</row>
    <row r="602" ht="13.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</row>
    <row r="603" ht="13.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</row>
    <row r="604" ht="13.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</row>
    <row r="605" ht="13.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</row>
    <row r="606" ht="13.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</row>
    <row r="607" ht="13.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</row>
    <row r="608" ht="13.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</row>
    <row r="609" ht="13.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</row>
    <row r="610" ht="13.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</row>
    <row r="611" ht="13.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</row>
    <row r="612" ht="13.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</row>
    <row r="613" ht="13.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</row>
    <row r="614" ht="13.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</row>
    <row r="615" ht="13.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</row>
    <row r="616" ht="13.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</row>
    <row r="617" ht="13.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</row>
    <row r="618" ht="13.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</row>
    <row r="619" ht="13.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</row>
    <row r="620" ht="13.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</row>
    <row r="621" ht="13.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</row>
    <row r="622" ht="13.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</row>
    <row r="623" ht="13.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</row>
    <row r="624" ht="13.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</row>
    <row r="625" ht="13.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</row>
    <row r="626" ht="13.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</row>
    <row r="627" ht="13.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</row>
    <row r="628" ht="13.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</row>
    <row r="629" ht="13.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</row>
    <row r="630" ht="13.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</row>
    <row r="631" ht="13.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</row>
    <row r="632" ht="13.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</row>
    <row r="633" ht="13.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</row>
    <row r="634" ht="13.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</row>
    <row r="635" ht="13.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</row>
    <row r="636" ht="13.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</row>
    <row r="637" ht="13.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</row>
    <row r="638" ht="13.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</row>
    <row r="639" ht="13.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</row>
    <row r="640" ht="13.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</row>
    <row r="641" ht="13.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</row>
    <row r="642" ht="13.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</row>
    <row r="643" ht="13.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</row>
    <row r="644" ht="13.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</row>
    <row r="645" ht="13.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</row>
    <row r="646" ht="13.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</row>
    <row r="647" ht="13.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</row>
    <row r="648" ht="13.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</row>
    <row r="649" ht="13.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</row>
    <row r="650" ht="13.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</row>
    <row r="651" ht="13.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</row>
    <row r="652" ht="13.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</row>
    <row r="653" ht="13.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</row>
    <row r="654" ht="13.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</row>
    <row r="655" ht="13.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</row>
    <row r="656" ht="13.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</row>
    <row r="657" ht="13.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</row>
    <row r="658" ht="13.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</row>
    <row r="659" ht="13.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</row>
    <row r="660" ht="13.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</row>
    <row r="661" ht="13.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</row>
    <row r="662" ht="13.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</row>
    <row r="663" ht="13.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</row>
    <row r="664" ht="13.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</row>
    <row r="665" ht="13.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</row>
    <row r="666" ht="13.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</row>
    <row r="667" ht="13.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</row>
    <row r="668" ht="13.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</row>
    <row r="669" ht="13.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</row>
    <row r="670" ht="13.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</row>
    <row r="671" ht="13.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</row>
    <row r="672" ht="13.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</row>
    <row r="673" ht="13.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</row>
    <row r="674" ht="13.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</row>
    <row r="675" ht="13.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</row>
    <row r="676" ht="13.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</row>
    <row r="677" ht="13.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</row>
    <row r="678" ht="13.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</row>
    <row r="679" ht="13.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</row>
    <row r="680" ht="13.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</row>
    <row r="681" ht="13.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</row>
    <row r="682" ht="13.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</row>
    <row r="683" ht="13.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</row>
    <row r="684" ht="13.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</row>
    <row r="685" ht="13.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</row>
    <row r="686" ht="13.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</row>
    <row r="687" ht="13.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</row>
    <row r="688" ht="13.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</row>
    <row r="689" ht="13.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</row>
    <row r="690" ht="13.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</row>
    <row r="691" ht="13.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</row>
    <row r="692" ht="13.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</row>
    <row r="693" ht="13.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</row>
    <row r="694" ht="13.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</row>
    <row r="695" ht="13.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</row>
    <row r="696" ht="13.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</row>
    <row r="697" ht="13.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</row>
    <row r="698" ht="13.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</row>
    <row r="699" ht="13.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</row>
    <row r="700" ht="13.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</row>
    <row r="701" ht="13.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</row>
    <row r="702" ht="13.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</row>
    <row r="703" ht="13.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</row>
    <row r="704" ht="13.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</row>
    <row r="705" ht="13.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</row>
    <row r="706" ht="13.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</row>
    <row r="707" ht="13.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</row>
    <row r="708" ht="13.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</row>
    <row r="709" ht="13.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</row>
    <row r="710" ht="13.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</row>
    <row r="711" ht="13.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</row>
    <row r="712" ht="13.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</row>
    <row r="713" ht="13.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</row>
    <row r="714" ht="13.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</row>
    <row r="715" ht="13.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</row>
    <row r="716" ht="13.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</row>
    <row r="717" ht="13.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</row>
    <row r="718" ht="13.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</row>
    <row r="719" ht="13.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</row>
    <row r="720" ht="13.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</row>
    <row r="721" ht="13.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</row>
    <row r="722" ht="13.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</row>
    <row r="723" ht="13.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</row>
    <row r="724" ht="13.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</row>
    <row r="725" ht="13.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</row>
    <row r="726" ht="13.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</row>
    <row r="727" ht="13.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</row>
    <row r="728" ht="13.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</row>
    <row r="729" ht="13.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</row>
    <row r="730" ht="13.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</row>
    <row r="731" ht="13.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</row>
    <row r="732" ht="13.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</row>
    <row r="733" ht="13.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</row>
    <row r="734" ht="13.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</row>
    <row r="735" ht="13.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</row>
    <row r="736" ht="13.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</row>
    <row r="737" ht="13.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</row>
    <row r="738" ht="13.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</row>
    <row r="739" ht="13.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</row>
    <row r="740" ht="13.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</row>
    <row r="741" ht="13.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</row>
    <row r="742" ht="13.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</row>
    <row r="743" ht="13.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</row>
    <row r="744" ht="13.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</row>
    <row r="745" ht="13.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</row>
    <row r="746" ht="13.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</row>
    <row r="747" ht="13.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</row>
    <row r="748" ht="13.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</row>
    <row r="749" ht="13.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</row>
    <row r="750" ht="13.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</row>
    <row r="751" ht="13.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</row>
    <row r="752" ht="13.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</row>
    <row r="753" ht="13.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</row>
    <row r="754" ht="13.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</row>
    <row r="755" ht="13.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</row>
    <row r="756" ht="13.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</row>
    <row r="757" ht="13.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</row>
    <row r="758" ht="13.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</row>
    <row r="759" ht="13.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</row>
    <row r="760" ht="13.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</row>
    <row r="761" ht="13.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</row>
    <row r="762" ht="13.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</row>
    <row r="763" ht="13.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</row>
    <row r="764" ht="13.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</row>
    <row r="765" ht="13.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</row>
    <row r="766" ht="13.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</row>
    <row r="767" ht="13.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</row>
    <row r="768" ht="13.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</row>
    <row r="769" ht="13.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</row>
    <row r="770" ht="13.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</row>
    <row r="771" ht="13.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</row>
    <row r="772" ht="13.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</row>
    <row r="773" ht="13.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</row>
    <row r="774" ht="13.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</row>
    <row r="775" ht="13.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</row>
    <row r="776" ht="13.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</row>
    <row r="777" ht="13.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</row>
    <row r="778" ht="13.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</row>
    <row r="779" ht="13.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</row>
    <row r="780" ht="13.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</row>
    <row r="781" ht="13.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</row>
    <row r="782" ht="13.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</row>
    <row r="783" ht="13.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</row>
    <row r="784" ht="13.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</row>
    <row r="785" ht="13.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</row>
    <row r="786" ht="13.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</row>
    <row r="787" ht="13.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</row>
    <row r="788" ht="13.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</row>
    <row r="789" ht="13.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</row>
    <row r="790" ht="13.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</row>
    <row r="791" ht="13.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</row>
    <row r="792" ht="13.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</row>
    <row r="793" ht="13.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</row>
    <row r="794" ht="13.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</row>
    <row r="795" ht="13.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</row>
    <row r="796" ht="13.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</row>
    <row r="797" ht="13.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</row>
    <row r="798" ht="13.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</row>
    <row r="799" ht="13.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</row>
    <row r="800" ht="13.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</row>
    <row r="801" ht="13.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</row>
    <row r="802" ht="13.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</row>
    <row r="803" ht="13.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</row>
    <row r="804" ht="13.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</row>
    <row r="805" ht="13.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</row>
    <row r="806" ht="13.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</row>
    <row r="807" ht="13.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</row>
    <row r="808" ht="13.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</row>
    <row r="809" ht="13.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</row>
    <row r="810" ht="13.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</row>
    <row r="811" ht="13.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</row>
    <row r="812" ht="13.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</row>
    <row r="813" ht="13.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</row>
    <row r="814" ht="13.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</row>
    <row r="815" ht="13.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</row>
    <row r="816" ht="13.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</row>
    <row r="817" ht="13.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</row>
    <row r="818" ht="13.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</row>
    <row r="819" ht="13.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</row>
    <row r="820" ht="13.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</row>
    <row r="821" ht="13.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</row>
    <row r="822" ht="13.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</row>
    <row r="823" ht="13.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</row>
    <row r="824" ht="13.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</row>
    <row r="825" ht="13.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</row>
    <row r="826" ht="13.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</row>
    <row r="827" ht="13.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</row>
    <row r="828" ht="13.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</row>
    <row r="829" ht="13.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</row>
    <row r="830" ht="13.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</row>
    <row r="831" ht="13.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</row>
    <row r="832" ht="13.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</row>
    <row r="833" ht="13.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</row>
    <row r="834" ht="13.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</row>
    <row r="835" ht="13.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</row>
    <row r="836" ht="13.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</row>
    <row r="837" ht="13.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</row>
    <row r="838" ht="13.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</row>
    <row r="839" ht="13.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</row>
    <row r="840" ht="13.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</row>
    <row r="841" ht="13.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</row>
    <row r="842" ht="13.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</row>
    <row r="843" ht="13.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</row>
    <row r="844" ht="13.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</row>
    <row r="845" ht="13.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</row>
    <row r="846" ht="13.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</row>
    <row r="847" ht="13.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</row>
    <row r="848" ht="13.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</row>
    <row r="849" ht="13.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</row>
    <row r="850" ht="13.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</row>
    <row r="851" ht="13.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</row>
    <row r="852" ht="13.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</row>
    <row r="853" ht="13.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</row>
    <row r="854" ht="13.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</row>
    <row r="855" ht="13.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</row>
    <row r="856" ht="13.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</row>
    <row r="857" ht="13.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</row>
    <row r="858" ht="13.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</row>
    <row r="859" ht="13.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</row>
    <row r="860" ht="13.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</row>
    <row r="861" ht="13.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</row>
    <row r="862" ht="13.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</row>
    <row r="863" ht="13.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</row>
    <row r="864" ht="13.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</row>
    <row r="865" ht="13.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</row>
    <row r="866" ht="13.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</row>
    <row r="867" ht="13.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</row>
    <row r="868" ht="13.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</row>
    <row r="869" ht="13.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</row>
    <row r="870" ht="13.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</row>
    <row r="871" ht="13.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</row>
    <row r="872" ht="13.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</row>
    <row r="873" ht="13.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</row>
    <row r="874" ht="13.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</row>
    <row r="875" ht="13.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</row>
    <row r="876" ht="13.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</row>
    <row r="877" ht="13.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</row>
    <row r="878" ht="13.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</row>
    <row r="879" ht="13.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</row>
    <row r="880" ht="13.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</row>
    <row r="881" ht="13.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</row>
    <row r="882" ht="13.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</row>
    <row r="883" ht="13.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</row>
    <row r="884" ht="13.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</row>
    <row r="885" ht="13.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</row>
    <row r="886" ht="13.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</row>
    <row r="887" ht="13.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</row>
    <row r="888" ht="13.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</row>
    <row r="889" ht="13.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</row>
    <row r="890" ht="13.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</row>
    <row r="891" ht="13.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</row>
    <row r="892" ht="13.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</row>
    <row r="893" ht="13.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</row>
    <row r="894" ht="13.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</row>
    <row r="895" ht="13.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</row>
    <row r="896" ht="13.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</row>
    <row r="897" ht="13.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</row>
    <row r="898" ht="13.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</row>
    <row r="899" ht="13.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</row>
    <row r="900" ht="13.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</row>
    <row r="901" ht="13.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</row>
    <row r="902" ht="13.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</row>
    <row r="903" ht="13.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</row>
    <row r="904" ht="13.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</row>
    <row r="905" ht="13.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</row>
    <row r="906" ht="13.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</row>
    <row r="907" ht="13.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</row>
    <row r="908" ht="13.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</row>
    <row r="909" ht="13.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</row>
    <row r="910" ht="13.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</row>
    <row r="911" ht="13.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</row>
    <row r="912" ht="13.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</row>
    <row r="913" ht="13.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</row>
    <row r="914" ht="13.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</row>
    <row r="915" ht="13.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</row>
    <row r="916" ht="13.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</row>
    <row r="917" ht="13.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</row>
    <row r="918" ht="13.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</row>
    <row r="919" ht="13.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</row>
    <row r="920" ht="13.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</row>
    <row r="921" ht="13.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</row>
    <row r="922" ht="13.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</row>
    <row r="923" ht="13.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</row>
    <row r="924" ht="13.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</row>
    <row r="925" ht="13.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</row>
    <row r="926" ht="13.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</row>
    <row r="927" ht="13.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</row>
    <row r="928" ht="13.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</row>
    <row r="929" ht="13.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</row>
    <row r="930" ht="13.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</row>
    <row r="931" ht="13.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</row>
    <row r="932" ht="13.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</row>
    <row r="933" ht="13.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</row>
    <row r="934" ht="13.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</row>
    <row r="935" ht="13.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</row>
    <row r="936" ht="13.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</row>
    <row r="937" ht="13.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</row>
    <row r="938" ht="13.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</row>
    <row r="939" ht="13.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</row>
    <row r="940" ht="13.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</row>
    <row r="941" ht="13.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</row>
    <row r="942" ht="13.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</row>
    <row r="943" ht="13.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</row>
    <row r="944" ht="13.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</row>
    <row r="945" ht="13.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</row>
    <row r="946" ht="13.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</row>
    <row r="947" ht="13.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</row>
    <row r="948" ht="13.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</row>
    <row r="949" ht="13.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</row>
    <row r="950" ht="13.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</row>
    <row r="951" ht="13.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</row>
    <row r="952" ht="13.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</row>
    <row r="953" ht="13.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</row>
    <row r="954" ht="13.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</row>
    <row r="955" ht="13.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</row>
    <row r="956" ht="13.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</row>
    <row r="957" ht="13.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</row>
    <row r="958" ht="13.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</row>
    <row r="959" ht="13.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</row>
    <row r="960" ht="13.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</row>
    <row r="961" ht="13.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</row>
    <row r="962" ht="13.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</row>
    <row r="963" ht="13.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</row>
    <row r="964" ht="13.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</row>
    <row r="965" ht="13.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</row>
    <row r="966" ht="13.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</row>
    <row r="967" ht="13.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</row>
    <row r="968" ht="13.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</row>
    <row r="969" ht="13.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</row>
    <row r="970" ht="13.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</row>
    <row r="971" ht="13.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</row>
    <row r="972" ht="13.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</row>
    <row r="973" ht="13.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</row>
    <row r="974" ht="13.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</row>
    <row r="975" ht="13.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</row>
    <row r="976" ht="13.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</row>
    <row r="977" ht="13.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</row>
    <row r="978" ht="13.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</row>
    <row r="979" ht="13.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</row>
    <row r="980" ht="13.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</row>
    <row r="981" ht="13.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</row>
    <row r="982" ht="13.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</row>
    <row r="983" ht="13.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</row>
    <row r="984" ht="13.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</row>
    <row r="985" ht="13.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</row>
    <row r="986" ht="13.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</row>
    <row r="987" ht="13.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</row>
    <row r="988" ht="13.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</row>
    <row r="989" ht="13.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</row>
    <row r="990" ht="13.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</row>
    <row r="991" ht="13.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</row>
    <row r="992" ht="13.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</row>
    <row r="993" ht="13.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</row>
    <row r="994" ht="13.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</row>
    <row r="995" ht="13.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</row>
    <row r="996" ht="13.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</row>
    <row r="997" ht="13.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</row>
    <row r="998" ht="13.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</row>
    <row r="999" ht="13.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</row>
    <row r="1000" ht="13.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</row>
  </sheetData>
  <mergeCells count="2">
    <mergeCell ref="A1:U1"/>
    <mergeCell ref="A2:U2"/>
  </mergeCells>
  <conditionalFormatting sqref="Q5:Q34">
    <cfRule type="cellIs" dxfId="6" priority="1" operator="lessThan">
      <formula>0</formula>
    </cfRule>
  </conditionalFormatting>
  <conditionalFormatting sqref="S5:S34">
    <cfRule type="cellIs" dxfId="6" priority="2" operator="lessThan">
      <formula>0.9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14" width="16.0"/>
  </cols>
  <sheetData>
    <row r="1" ht="27.0" customHeight="1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1.75" customHeight="1">
      <c r="A2" s="6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ht="18.75" customHeight="1">
      <c r="A4" s="52" t="s">
        <v>343</v>
      </c>
      <c r="B4" s="52" t="s">
        <v>347</v>
      </c>
      <c r="C4" s="52" t="s">
        <v>218</v>
      </c>
      <c r="D4" s="52" t="s">
        <v>72</v>
      </c>
      <c r="E4" s="52" t="s">
        <v>360</v>
      </c>
      <c r="F4" s="52" t="s">
        <v>107</v>
      </c>
      <c r="G4" s="52" t="s">
        <v>361</v>
      </c>
      <c r="H4" s="52" t="s">
        <v>350</v>
      </c>
      <c r="I4" s="31"/>
      <c r="J4" s="31"/>
      <c r="K4" s="31"/>
      <c r="L4" s="31"/>
      <c r="M4" s="31"/>
      <c r="N4" s="31"/>
    </row>
    <row r="5" ht="21.75" customHeight="1">
      <c r="A5" s="53">
        <f>SUM('05 Ops Tracker'!M5:M34)</f>
        <v>0</v>
      </c>
      <c r="B5" s="53">
        <f>SUM('05 Ops Tracker'!Q5:Q34)</f>
        <v>0</v>
      </c>
      <c r="C5" s="54">
        <f>SUM('05 Ops Tracker'!C5:C34)</f>
        <v>0</v>
      </c>
      <c r="D5" s="54">
        <f>SUM('05 Ops Tracker'!D5:D34)</f>
        <v>0</v>
      </c>
      <c r="E5" s="54">
        <f>SUM('05 Ops Tracker'!H5:H34)</f>
        <v>0</v>
      </c>
      <c r="F5" s="54">
        <f>SUM('05 Ops Tracker'!I5:I34)</f>
        <v>0</v>
      </c>
      <c r="G5" s="55">
        <f>AVERAGE('05 Ops Tracker'!S5:S34)</f>
        <v>0.9</v>
      </c>
      <c r="H5" s="54">
        <f>SUM('05 Ops Tracker'!T5:T34)</f>
        <v>0</v>
      </c>
      <c r="I5" s="31"/>
      <c r="J5" s="31"/>
      <c r="K5" s="31"/>
      <c r="L5" s="31"/>
      <c r="M5" s="31"/>
      <c r="N5" s="31"/>
    </row>
    <row r="6" ht="13.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ht="13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ht="13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ht="18.75" customHeight="1">
      <c r="A9" s="52" t="s">
        <v>362</v>
      </c>
      <c r="B9" s="52" t="s">
        <v>363</v>
      </c>
      <c r="C9" s="52" t="s">
        <v>364</v>
      </c>
      <c r="D9" s="52" t="s">
        <v>365</v>
      </c>
      <c r="E9" s="52" t="s">
        <v>121</v>
      </c>
      <c r="F9" s="52" t="s">
        <v>31</v>
      </c>
      <c r="G9" s="31"/>
      <c r="H9" s="31"/>
      <c r="I9" s="31"/>
      <c r="J9" s="31"/>
      <c r="K9" s="31"/>
      <c r="L9" s="31"/>
      <c r="M9" s="31"/>
      <c r="N9" s="31"/>
    </row>
    <row r="10" ht="13.5" customHeight="1">
      <c r="A10" s="56" t="s">
        <v>66</v>
      </c>
      <c r="B10" s="57">
        <f>'01 Offer Pricing'!$B$14</f>
        <v>300</v>
      </c>
      <c r="C10" s="57">
        <f>$C$5</f>
        <v>0</v>
      </c>
      <c r="D10" s="58">
        <f t="shared" ref="D10:D15" si="1">IFERROR(C10/B10,0)</f>
        <v>0</v>
      </c>
      <c r="E10" s="56" t="str">
        <f t="shared" ref="E10:E15" si="2">IF(D10&gt;=1,"Đạt",IF(D10&gt;=0.7,"Đang tiến triển","Cần đẩy"))</f>
        <v>Cần đẩy</v>
      </c>
      <c r="F10" s="56" t="s">
        <v>366</v>
      </c>
      <c r="G10" s="31"/>
      <c r="H10" s="31"/>
      <c r="I10" s="31"/>
      <c r="J10" s="31"/>
      <c r="K10" s="31"/>
      <c r="L10" s="31"/>
      <c r="M10" s="31"/>
      <c r="N10" s="31"/>
    </row>
    <row r="11" ht="13.5" customHeight="1">
      <c r="A11" s="56" t="s">
        <v>72</v>
      </c>
      <c r="B11" s="57">
        <f>'01 Offer Pricing'!$B$15</f>
        <v>50</v>
      </c>
      <c r="C11" s="57">
        <f>$D$5</f>
        <v>0</v>
      </c>
      <c r="D11" s="58">
        <f t="shared" si="1"/>
        <v>0</v>
      </c>
      <c r="E11" s="56" t="str">
        <f t="shared" si="2"/>
        <v>Cần đẩy</v>
      </c>
      <c r="F11" s="56" t="s">
        <v>366</v>
      </c>
      <c r="G11" s="31"/>
      <c r="H11" s="31"/>
      <c r="I11" s="31"/>
      <c r="J11" s="31"/>
      <c r="K11" s="31"/>
      <c r="L11" s="31"/>
      <c r="M11" s="31"/>
      <c r="N11" s="31"/>
    </row>
    <row r="12" ht="13.5" customHeight="1">
      <c r="A12" s="56" t="s">
        <v>367</v>
      </c>
      <c r="B12" s="59">
        <f>'01 Offer Pricing'!$B$18</f>
        <v>175650000</v>
      </c>
      <c r="C12" s="59">
        <f>$A$5</f>
        <v>0</v>
      </c>
      <c r="D12" s="58">
        <f t="shared" si="1"/>
        <v>0</v>
      </c>
      <c r="E12" s="56" t="str">
        <f t="shared" si="2"/>
        <v>Cần đẩy</v>
      </c>
      <c r="F12" s="56" t="s">
        <v>368</v>
      </c>
      <c r="G12" s="31"/>
      <c r="H12" s="31"/>
      <c r="I12" s="31"/>
      <c r="J12" s="31"/>
      <c r="K12" s="31"/>
      <c r="L12" s="31"/>
      <c r="M12" s="31"/>
      <c r="N12" s="31"/>
    </row>
    <row r="13" ht="13.5" customHeight="1">
      <c r="A13" s="56" t="s">
        <v>360</v>
      </c>
      <c r="B13" s="57">
        <f>'01 Offer Pricing'!$B$16</f>
        <v>4500</v>
      </c>
      <c r="C13" s="57">
        <f>$E$5</f>
        <v>0</v>
      </c>
      <c r="D13" s="58">
        <f t="shared" si="1"/>
        <v>0</v>
      </c>
      <c r="E13" s="56" t="str">
        <f t="shared" si="2"/>
        <v>Cần đẩy</v>
      </c>
      <c r="F13" s="56" t="s">
        <v>369</v>
      </c>
      <c r="G13" s="31"/>
      <c r="H13" s="31"/>
      <c r="I13" s="31"/>
      <c r="J13" s="31"/>
      <c r="K13" s="31"/>
      <c r="L13" s="31"/>
      <c r="M13" s="31"/>
      <c r="N13" s="31"/>
    </row>
    <row r="14" ht="13.5" customHeight="1">
      <c r="A14" s="56" t="s">
        <v>107</v>
      </c>
      <c r="B14" s="57">
        <f>'01 Offer Pricing'!$B$17</f>
        <v>600</v>
      </c>
      <c r="C14" s="57">
        <f>$F$5</f>
        <v>0</v>
      </c>
      <c r="D14" s="58">
        <f t="shared" si="1"/>
        <v>0</v>
      </c>
      <c r="E14" s="56" t="str">
        <f t="shared" si="2"/>
        <v>Cần đẩy</v>
      </c>
      <c r="F14" s="56" t="s">
        <v>370</v>
      </c>
      <c r="G14" s="31"/>
      <c r="H14" s="31"/>
      <c r="I14" s="31"/>
      <c r="J14" s="31"/>
      <c r="K14" s="31"/>
      <c r="L14" s="31"/>
      <c r="M14" s="31"/>
      <c r="N14" s="31"/>
    </row>
    <row r="15" ht="13.5" customHeight="1">
      <c r="A15" s="56" t="s">
        <v>371</v>
      </c>
      <c r="B15" s="58">
        <f>'01 Offer Pricing'!$B$19</f>
        <v>0.9</v>
      </c>
      <c r="C15" s="58">
        <f>$G$5</f>
        <v>0.9</v>
      </c>
      <c r="D15" s="58">
        <f t="shared" si="1"/>
        <v>1</v>
      </c>
      <c r="E15" s="56" t="str">
        <f t="shared" si="2"/>
        <v>Đạt</v>
      </c>
      <c r="F15" s="56" t="s">
        <v>372</v>
      </c>
      <c r="G15" s="31"/>
      <c r="H15" s="31"/>
      <c r="I15" s="31"/>
      <c r="J15" s="31"/>
      <c r="K15" s="31"/>
      <c r="L15" s="31"/>
      <c r="M15" s="31"/>
      <c r="N15" s="31"/>
    </row>
    <row r="16" ht="13.5" customHeight="1">
      <c r="A16" s="56" t="s">
        <v>348</v>
      </c>
      <c r="B16" s="57">
        <f>ROUND(('01 Offer Pricing'!$B$16+'01 Offer Pricing'!$B$17)*0.07,0)</f>
        <v>357</v>
      </c>
      <c r="C16" s="57">
        <f>SUM('05 Ops Tracker'!R5:R34)</f>
        <v>0</v>
      </c>
      <c r="D16" s="58">
        <f t="shared" ref="D16:D17" si="3">IFERROR(1-C16/B16,0)</f>
        <v>1</v>
      </c>
      <c r="E16" s="56" t="str">
        <f t="shared" ref="E16:E17" si="4">IF(C16&lt;=B16,"Ổn","Cần xử lý")</f>
        <v>Ổn</v>
      </c>
      <c r="F16" s="56" t="s">
        <v>373</v>
      </c>
      <c r="G16" s="31"/>
      <c r="H16" s="31"/>
      <c r="I16" s="31"/>
      <c r="J16" s="31"/>
      <c r="K16" s="31"/>
      <c r="L16" s="31"/>
      <c r="M16" s="31"/>
      <c r="N16" s="31"/>
    </row>
    <row r="17" ht="13.5" customHeight="1">
      <c r="A17" s="56" t="s">
        <v>350</v>
      </c>
      <c r="B17" s="57">
        <f>ROUND(('01 Offer Pricing'!$B$16+'01 Offer Pricing'!$B$17)*0.03,0)</f>
        <v>153</v>
      </c>
      <c r="C17" s="57">
        <f>$H$5</f>
        <v>0</v>
      </c>
      <c r="D17" s="58">
        <f t="shared" si="3"/>
        <v>1</v>
      </c>
      <c r="E17" s="56" t="str">
        <f t="shared" si="4"/>
        <v>Ổn</v>
      </c>
      <c r="F17" s="56" t="s">
        <v>374</v>
      </c>
      <c r="G17" s="31"/>
      <c r="H17" s="31"/>
      <c r="I17" s="31"/>
      <c r="J17" s="31"/>
      <c r="K17" s="31"/>
      <c r="L17" s="31"/>
      <c r="M17" s="31"/>
      <c r="N17" s="31"/>
    </row>
    <row r="18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ht="18.75" customHeight="1">
      <c r="A21" s="52" t="s">
        <v>253</v>
      </c>
      <c r="B21" s="52" t="s">
        <v>343</v>
      </c>
      <c r="C21" s="52" t="s">
        <v>347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ht="13.5" customHeight="1">
      <c r="A22" s="60" t="s">
        <v>375</v>
      </c>
      <c r="B22" s="61">
        <f>'05 Ops Tracker'!M5</f>
        <v>0</v>
      </c>
      <c r="C22" s="61">
        <f>'05 Ops Tracker'!Q5</f>
        <v>0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ht="13.5" customHeight="1">
      <c r="A23" s="60" t="s">
        <v>376</v>
      </c>
      <c r="B23" s="61">
        <f>'05 Ops Tracker'!M6</f>
        <v>0</v>
      </c>
      <c r="C23" s="61">
        <f>'05 Ops Tracker'!Q6</f>
        <v>0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ht="13.5" customHeight="1">
      <c r="A24" s="60" t="s">
        <v>377</v>
      </c>
      <c r="B24" s="61">
        <f>'05 Ops Tracker'!M7</f>
        <v>0</v>
      </c>
      <c r="C24" s="61">
        <f>'05 Ops Tracker'!Q7</f>
        <v>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ht="13.5" customHeight="1">
      <c r="A25" s="60" t="s">
        <v>378</v>
      </c>
      <c r="B25" s="61">
        <f>'05 Ops Tracker'!M8</f>
        <v>0</v>
      </c>
      <c r="C25" s="61">
        <f>'05 Ops Tracker'!Q8</f>
        <v>0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ht="13.5" customHeight="1">
      <c r="A26" s="60" t="s">
        <v>379</v>
      </c>
      <c r="B26" s="61">
        <f>'05 Ops Tracker'!M9</f>
        <v>0</v>
      </c>
      <c r="C26" s="61">
        <f>'05 Ops Tracker'!Q9</f>
        <v>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ht="13.5" customHeight="1">
      <c r="A27" s="60" t="s">
        <v>380</v>
      </c>
      <c r="B27" s="61">
        <f>'05 Ops Tracker'!M10</f>
        <v>0</v>
      </c>
      <c r="C27" s="61">
        <f>'05 Ops Tracker'!Q10</f>
        <v>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ht="13.5" customHeight="1">
      <c r="A28" s="60" t="s">
        <v>381</v>
      </c>
      <c r="B28" s="61">
        <f>'05 Ops Tracker'!M11</f>
        <v>0</v>
      </c>
      <c r="C28" s="61">
        <f>'05 Ops Tracker'!Q11</f>
        <v>0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ht="13.5" customHeight="1">
      <c r="A29" s="60" t="s">
        <v>382</v>
      </c>
      <c r="B29" s="61">
        <f>'05 Ops Tracker'!M12</f>
        <v>0</v>
      </c>
      <c r="C29" s="61">
        <f>'05 Ops Tracker'!Q12</f>
        <v>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ht="13.5" customHeight="1">
      <c r="A30" s="60" t="s">
        <v>383</v>
      </c>
      <c r="B30" s="61">
        <f>'05 Ops Tracker'!M13</f>
        <v>0</v>
      </c>
      <c r="C30" s="61">
        <f>'05 Ops Tracker'!Q13</f>
        <v>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ht="13.5" customHeight="1">
      <c r="A31" s="60" t="s">
        <v>384</v>
      </c>
      <c r="B31" s="61">
        <f>'05 Ops Tracker'!M14</f>
        <v>0</v>
      </c>
      <c r="C31" s="61">
        <f>'05 Ops Tracker'!Q14</f>
        <v>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ht="13.5" customHeight="1">
      <c r="A32" s="60" t="s">
        <v>385</v>
      </c>
      <c r="B32" s="61">
        <f>'05 Ops Tracker'!M15</f>
        <v>0</v>
      </c>
      <c r="C32" s="61">
        <f>'05 Ops Tracker'!Q15</f>
        <v>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ht="13.5" customHeight="1">
      <c r="A33" s="60" t="s">
        <v>386</v>
      </c>
      <c r="B33" s="61">
        <f>'05 Ops Tracker'!M16</f>
        <v>0</v>
      </c>
      <c r="C33" s="61">
        <f>'05 Ops Tracker'!Q16</f>
        <v>0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ht="13.5" customHeight="1">
      <c r="A34" s="60" t="s">
        <v>387</v>
      </c>
      <c r="B34" s="61">
        <f>'05 Ops Tracker'!M17</f>
        <v>0</v>
      </c>
      <c r="C34" s="61">
        <f>'05 Ops Tracker'!Q17</f>
        <v>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ht="13.5" customHeight="1">
      <c r="A35" s="60" t="s">
        <v>388</v>
      </c>
      <c r="B35" s="61">
        <f>'05 Ops Tracker'!M18</f>
        <v>0</v>
      </c>
      <c r="C35" s="61">
        <f>'05 Ops Tracker'!Q18</f>
        <v>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ht="13.5" customHeight="1">
      <c r="A36" s="60" t="s">
        <v>389</v>
      </c>
      <c r="B36" s="61">
        <f>'05 Ops Tracker'!M19</f>
        <v>0</v>
      </c>
      <c r="C36" s="61">
        <f>'05 Ops Tracker'!Q19</f>
        <v>0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</row>
    <row r="37" ht="13.5" customHeight="1">
      <c r="A37" s="60" t="s">
        <v>390</v>
      </c>
      <c r="B37" s="61">
        <f>'05 Ops Tracker'!M20</f>
        <v>0</v>
      </c>
      <c r="C37" s="61">
        <f>'05 Ops Tracker'!Q20</f>
        <v>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ht="13.5" customHeight="1">
      <c r="A38" s="60" t="s">
        <v>391</v>
      </c>
      <c r="B38" s="61">
        <f>'05 Ops Tracker'!M21</f>
        <v>0</v>
      </c>
      <c r="C38" s="61">
        <f>'05 Ops Tracker'!Q21</f>
        <v>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ht="13.5" customHeight="1">
      <c r="A39" s="60" t="s">
        <v>392</v>
      </c>
      <c r="B39" s="61">
        <f>'05 Ops Tracker'!M22</f>
        <v>0</v>
      </c>
      <c r="C39" s="61">
        <f>'05 Ops Tracker'!Q22</f>
        <v>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ht="13.5" customHeight="1">
      <c r="A40" s="60" t="s">
        <v>393</v>
      </c>
      <c r="B40" s="61">
        <f>'05 Ops Tracker'!M23</f>
        <v>0</v>
      </c>
      <c r="C40" s="61">
        <f>'05 Ops Tracker'!Q23</f>
        <v>0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ht="13.5" customHeight="1">
      <c r="A41" s="60" t="s">
        <v>394</v>
      </c>
      <c r="B41" s="61">
        <f>'05 Ops Tracker'!M24</f>
        <v>0</v>
      </c>
      <c r="C41" s="61">
        <f>'05 Ops Tracker'!Q24</f>
        <v>0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ht="13.5" customHeight="1">
      <c r="A42" s="60" t="s">
        <v>395</v>
      </c>
      <c r="B42" s="61">
        <f>'05 Ops Tracker'!M25</f>
        <v>0</v>
      </c>
      <c r="C42" s="61">
        <f>'05 Ops Tracker'!Q25</f>
        <v>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ht="13.5" customHeight="1">
      <c r="A43" s="60" t="s">
        <v>396</v>
      </c>
      <c r="B43" s="61">
        <f>'05 Ops Tracker'!M26</f>
        <v>0</v>
      </c>
      <c r="C43" s="61">
        <f>'05 Ops Tracker'!Q26</f>
        <v>0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ht="13.5" customHeight="1">
      <c r="A44" s="60" t="s">
        <v>397</v>
      </c>
      <c r="B44" s="61">
        <f>'05 Ops Tracker'!M27</f>
        <v>0</v>
      </c>
      <c r="C44" s="61">
        <f>'05 Ops Tracker'!Q27</f>
        <v>0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ht="13.5" customHeight="1">
      <c r="A45" s="60" t="s">
        <v>398</v>
      </c>
      <c r="B45" s="61">
        <f>'05 Ops Tracker'!M28</f>
        <v>0</v>
      </c>
      <c r="C45" s="61">
        <f>'05 Ops Tracker'!Q28</f>
        <v>0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ht="13.5" customHeight="1">
      <c r="A46" s="60" t="s">
        <v>399</v>
      </c>
      <c r="B46" s="61">
        <f>'05 Ops Tracker'!M29</f>
        <v>0</v>
      </c>
      <c r="C46" s="61">
        <f>'05 Ops Tracker'!Q29</f>
        <v>0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ht="13.5" customHeight="1">
      <c r="A47" s="60" t="s">
        <v>400</v>
      </c>
      <c r="B47" s="61">
        <f>'05 Ops Tracker'!M30</f>
        <v>0</v>
      </c>
      <c r="C47" s="61">
        <f>'05 Ops Tracker'!Q30</f>
        <v>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ht="13.5" customHeight="1">
      <c r="A48" s="60" t="s">
        <v>401</v>
      </c>
      <c r="B48" s="61">
        <f>'05 Ops Tracker'!M31</f>
        <v>0</v>
      </c>
      <c r="C48" s="61">
        <f>'05 Ops Tracker'!Q31</f>
        <v>0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ht="13.5" customHeight="1">
      <c r="A49" s="60" t="s">
        <v>402</v>
      </c>
      <c r="B49" s="61">
        <f>'05 Ops Tracker'!M32</f>
        <v>0</v>
      </c>
      <c r="C49" s="61">
        <f>'05 Ops Tracker'!Q32</f>
        <v>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ht="13.5" customHeight="1">
      <c r="A50" s="60" t="s">
        <v>403</v>
      </c>
      <c r="B50" s="61">
        <f>'05 Ops Tracker'!M33</f>
        <v>0</v>
      </c>
      <c r="C50" s="61">
        <f>'05 Ops Tracker'!Q33</f>
        <v>0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ht="13.5" customHeight="1">
      <c r="A51" s="60" t="s">
        <v>404</v>
      </c>
      <c r="B51" s="61">
        <f>'05 Ops Tracker'!M34</f>
        <v>0</v>
      </c>
      <c r="C51" s="61">
        <f>'05 Ops Tracker'!Q34</f>
        <v>0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N1"/>
    <mergeCell ref="A2:N2"/>
  </mergeCells>
  <conditionalFormatting sqref="E10:E17">
    <cfRule type="expression" dxfId="4" priority="1">
      <formula>E10="Đạt"</formula>
    </cfRule>
  </conditionalFormatting>
  <conditionalFormatting sqref="E10:E17">
    <cfRule type="expression" dxfId="4" priority="2">
      <formula>E10="Ổn"</formula>
    </cfRule>
  </conditionalFormatting>
  <conditionalFormatting sqref="E10:E17">
    <cfRule type="expression" dxfId="6" priority="3">
      <formula>E10="Cần xử lý"</formula>
    </cfRule>
  </conditionalFormatting>
  <conditionalFormatting sqref="E10:E17">
    <cfRule type="expression" dxfId="6" priority="4">
      <formula>E10="Cần đẩy"</formula>
    </cfRule>
  </conditionalFormatting>
  <conditionalFormatting sqref="E10:E17">
    <cfRule type="expression" dxfId="5" priority="5">
      <formula>E10="Đang tiến triển"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8.0"/>
    <col customWidth="1" min="3" max="3" width="36.0"/>
    <col customWidth="1" min="4" max="4" width="22.0"/>
    <col customWidth="1" min="5" max="5" width="20.0"/>
    <col customWidth="1" min="6" max="7" width="18.0"/>
    <col customWidth="1" min="8" max="9" width="24.0"/>
  </cols>
  <sheetData>
    <row r="1" ht="27.0" customHeight="1">
      <c r="A1" s="62" t="s">
        <v>405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63" t="s">
        <v>406</v>
      </c>
      <c r="B2" s="2"/>
      <c r="C2" s="2"/>
      <c r="D2" s="2"/>
      <c r="E2" s="2"/>
      <c r="F2" s="2"/>
      <c r="G2" s="2"/>
      <c r="H2" s="2"/>
      <c r="I2" s="3"/>
    </row>
    <row r="3" ht="13.5" customHeight="1">
      <c r="A3" s="64"/>
      <c r="B3" s="64"/>
      <c r="C3" s="64"/>
      <c r="D3" s="64"/>
      <c r="E3" s="64"/>
      <c r="F3" s="64"/>
      <c r="G3" s="64"/>
      <c r="H3" s="64"/>
      <c r="I3" s="64"/>
    </row>
    <row r="4" ht="18.75" customHeight="1">
      <c r="A4" s="65" t="s">
        <v>114</v>
      </c>
      <c r="B4" s="65" t="s">
        <v>407</v>
      </c>
      <c r="C4" s="65" t="s">
        <v>408</v>
      </c>
      <c r="D4" s="65" t="s">
        <v>409</v>
      </c>
      <c r="E4" s="65" t="s">
        <v>410</v>
      </c>
      <c r="F4" s="65" t="s">
        <v>256</v>
      </c>
      <c r="G4" s="65" t="s">
        <v>121</v>
      </c>
      <c r="H4" s="65" t="s">
        <v>411</v>
      </c>
      <c r="I4" s="65" t="s">
        <v>31</v>
      </c>
    </row>
    <row r="5" ht="13.5" customHeight="1">
      <c r="A5" s="66" t="s">
        <v>412</v>
      </c>
      <c r="B5" s="66" t="s">
        <v>413</v>
      </c>
      <c r="C5" s="66" t="s">
        <v>414</v>
      </c>
      <c r="D5" s="66" t="s">
        <v>415</v>
      </c>
      <c r="E5" s="66" t="s">
        <v>416</v>
      </c>
      <c r="F5" s="66" t="s">
        <v>417</v>
      </c>
      <c r="G5" s="66" t="s">
        <v>128</v>
      </c>
      <c r="H5" s="66" t="s">
        <v>418</v>
      </c>
      <c r="I5" s="66" t="s">
        <v>419</v>
      </c>
    </row>
    <row r="6" ht="13.5" customHeight="1">
      <c r="A6" s="66" t="s">
        <v>420</v>
      </c>
      <c r="B6" s="66" t="s">
        <v>421</v>
      </c>
      <c r="C6" s="66" t="s">
        <v>422</v>
      </c>
      <c r="D6" s="66" t="s">
        <v>285</v>
      </c>
      <c r="E6" s="66" t="s">
        <v>423</v>
      </c>
      <c r="F6" s="66" t="s">
        <v>417</v>
      </c>
      <c r="G6" s="66" t="s">
        <v>128</v>
      </c>
      <c r="H6" s="66" t="s">
        <v>424</v>
      </c>
      <c r="I6" s="66" t="s">
        <v>425</v>
      </c>
    </row>
    <row r="7" ht="13.5" customHeight="1">
      <c r="A7" s="66" t="s">
        <v>426</v>
      </c>
      <c r="B7" s="66" t="s">
        <v>427</v>
      </c>
      <c r="C7" s="66" t="s">
        <v>428</v>
      </c>
      <c r="D7" s="66" t="s">
        <v>429</v>
      </c>
      <c r="E7" s="66" t="s">
        <v>430</v>
      </c>
      <c r="F7" s="66" t="s">
        <v>431</v>
      </c>
      <c r="G7" s="66" t="s">
        <v>128</v>
      </c>
      <c r="H7" s="66" t="s">
        <v>432</v>
      </c>
      <c r="I7" s="66" t="s">
        <v>137</v>
      </c>
    </row>
    <row r="8" ht="13.5" customHeight="1">
      <c r="A8" s="66" t="s">
        <v>433</v>
      </c>
      <c r="B8" s="66" t="s">
        <v>434</v>
      </c>
      <c r="C8" s="66" t="s">
        <v>435</v>
      </c>
      <c r="D8" s="66" t="s">
        <v>436</v>
      </c>
      <c r="E8" s="66" t="s">
        <v>437</v>
      </c>
      <c r="F8" s="66" t="s">
        <v>438</v>
      </c>
      <c r="G8" s="66" t="s">
        <v>128</v>
      </c>
      <c r="H8" s="66" t="s">
        <v>439</v>
      </c>
      <c r="I8" s="66" t="s">
        <v>440</v>
      </c>
    </row>
    <row r="9" ht="13.5" customHeight="1">
      <c r="A9" s="66" t="s">
        <v>441</v>
      </c>
      <c r="B9" s="66" t="s">
        <v>442</v>
      </c>
      <c r="C9" s="66" t="s">
        <v>443</v>
      </c>
      <c r="D9" s="66" t="s">
        <v>444</v>
      </c>
      <c r="E9" s="66" t="s">
        <v>445</v>
      </c>
      <c r="F9" s="66" t="s">
        <v>417</v>
      </c>
      <c r="G9" s="66" t="s">
        <v>128</v>
      </c>
      <c r="H9" s="66" t="s">
        <v>446</v>
      </c>
      <c r="I9" s="66" t="s">
        <v>447</v>
      </c>
    </row>
    <row r="10" ht="13.5" customHeight="1">
      <c r="A10" s="66" t="s">
        <v>448</v>
      </c>
      <c r="B10" s="66" t="s">
        <v>449</v>
      </c>
      <c r="C10" s="66" t="s">
        <v>450</v>
      </c>
      <c r="D10" s="66" t="s">
        <v>429</v>
      </c>
      <c r="E10" s="66" t="s">
        <v>451</v>
      </c>
      <c r="F10" s="66" t="s">
        <v>417</v>
      </c>
      <c r="G10" s="66" t="s">
        <v>128</v>
      </c>
      <c r="H10" s="66" t="s">
        <v>452</v>
      </c>
      <c r="I10" s="66" t="s">
        <v>453</v>
      </c>
    </row>
    <row r="11" ht="13.5" customHeight="1">
      <c r="A11" s="66" t="s">
        <v>454</v>
      </c>
      <c r="B11" s="66" t="s">
        <v>455</v>
      </c>
      <c r="C11" s="66" t="s">
        <v>456</v>
      </c>
      <c r="D11" s="66" t="s">
        <v>457</v>
      </c>
      <c r="E11" s="66" t="s">
        <v>458</v>
      </c>
      <c r="F11" s="66" t="s">
        <v>459</v>
      </c>
      <c r="G11" s="66" t="s">
        <v>128</v>
      </c>
      <c r="H11" s="66" t="s">
        <v>460</v>
      </c>
      <c r="I11" s="66" t="s">
        <v>461</v>
      </c>
    </row>
    <row r="12" ht="13.5" customHeight="1">
      <c r="A12" s="66"/>
      <c r="B12" s="66"/>
      <c r="C12" s="66"/>
      <c r="D12" s="66"/>
      <c r="E12" s="66"/>
      <c r="F12" s="66"/>
      <c r="G12" s="66"/>
      <c r="H12" s="66"/>
      <c r="I12" s="66"/>
    </row>
    <row r="13" ht="13.5" customHeight="1">
      <c r="A13" s="64"/>
      <c r="B13" s="64"/>
      <c r="C13" s="64"/>
      <c r="D13" s="64"/>
      <c r="E13" s="64"/>
      <c r="F13" s="64"/>
      <c r="G13" s="64"/>
      <c r="H13" s="64"/>
      <c r="I13" s="64"/>
    </row>
    <row r="14" ht="13.5" customHeight="1">
      <c r="A14" s="64"/>
      <c r="B14" s="64"/>
      <c r="C14" s="64"/>
      <c r="D14" s="64"/>
      <c r="E14" s="64"/>
      <c r="F14" s="64"/>
      <c r="G14" s="64"/>
      <c r="H14" s="64"/>
      <c r="I14" s="64"/>
    </row>
    <row r="15" ht="13.5" customHeight="1">
      <c r="A15" s="64"/>
      <c r="B15" s="64"/>
      <c r="C15" s="64"/>
      <c r="D15" s="64"/>
      <c r="E15" s="64"/>
      <c r="F15" s="64"/>
      <c r="G15" s="64"/>
      <c r="H15" s="64"/>
      <c r="I15" s="64"/>
    </row>
    <row r="16" ht="13.5" customHeight="1">
      <c r="A16" s="64"/>
      <c r="B16" s="64"/>
      <c r="C16" s="64"/>
      <c r="D16" s="64"/>
      <c r="E16" s="64"/>
      <c r="F16" s="64"/>
      <c r="G16" s="64"/>
      <c r="H16" s="64"/>
      <c r="I16" s="64"/>
    </row>
    <row r="17" ht="13.5" customHeight="1">
      <c r="A17" s="64"/>
      <c r="B17" s="64"/>
      <c r="C17" s="64"/>
      <c r="D17" s="64"/>
      <c r="E17" s="64"/>
      <c r="F17" s="64"/>
      <c r="G17" s="64"/>
      <c r="H17" s="64"/>
      <c r="I17" s="64"/>
    </row>
    <row r="18" ht="13.5" customHeight="1">
      <c r="A18" s="64"/>
      <c r="B18" s="64"/>
      <c r="C18" s="64"/>
      <c r="D18" s="64"/>
      <c r="E18" s="64"/>
      <c r="F18" s="64"/>
      <c r="G18" s="64"/>
      <c r="H18" s="64"/>
      <c r="I18" s="64"/>
    </row>
    <row r="19" ht="13.5" customHeight="1">
      <c r="A19" s="64"/>
      <c r="B19" s="64"/>
      <c r="C19" s="64"/>
      <c r="D19" s="64"/>
      <c r="E19" s="64"/>
      <c r="F19" s="64"/>
      <c r="G19" s="64"/>
      <c r="H19" s="64"/>
      <c r="I19" s="64"/>
    </row>
    <row r="20" ht="13.5" customHeight="1">
      <c r="A20" s="64"/>
      <c r="B20" s="64"/>
      <c r="C20" s="64"/>
      <c r="D20" s="64"/>
      <c r="E20" s="64"/>
      <c r="F20" s="64"/>
      <c r="G20" s="64"/>
      <c r="H20" s="64"/>
      <c r="I20" s="64"/>
    </row>
    <row r="21" ht="13.5" customHeight="1">
      <c r="A21" s="64"/>
      <c r="B21" s="64"/>
      <c r="C21" s="64"/>
      <c r="D21" s="64"/>
      <c r="E21" s="64"/>
      <c r="F21" s="64"/>
      <c r="G21" s="64"/>
      <c r="H21" s="64"/>
      <c r="I21" s="64"/>
    </row>
    <row r="22" ht="13.5" customHeight="1">
      <c r="A22" s="64"/>
      <c r="B22" s="64"/>
      <c r="C22" s="64"/>
      <c r="D22" s="64"/>
      <c r="E22" s="64"/>
      <c r="F22" s="64"/>
      <c r="G22" s="64"/>
      <c r="H22" s="64"/>
      <c r="I22" s="64"/>
    </row>
    <row r="23" ht="13.5" customHeight="1">
      <c r="A23" s="64"/>
      <c r="B23" s="64"/>
      <c r="C23" s="64"/>
      <c r="D23" s="64"/>
      <c r="E23" s="64"/>
      <c r="F23" s="64"/>
      <c r="G23" s="64"/>
      <c r="H23" s="64"/>
      <c r="I23" s="64"/>
    </row>
    <row r="24" ht="13.5" customHeight="1">
      <c r="A24" s="64"/>
      <c r="B24" s="64"/>
      <c r="C24" s="64"/>
      <c r="D24" s="64"/>
      <c r="E24" s="64"/>
      <c r="F24" s="64"/>
      <c r="G24" s="64"/>
      <c r="H24" s="64"/>
      <c r="I24" s="64"/>
    </row>
    <row r="25" ht="13.5" customHeight="1">
      <c r="A25" s="64"/>
      <c r="B25" s="64"/>
      <c r="C25" s="64"/>
      <c r="D25" s="64"/>
      <c r="E25" s="64"/>
      <c r="F25" s="64"/>
      <c r="G25" s="64"/>
      <c r="H25" s="64"/>
      <c r="I25" s="64"/>
    </row>
    <row r="26" ht="13.5" customHeight="1">
      <c r="A26" s="64"/>
      <c r="B26" s="64"/>
      <c r="C26" s="64"/>
      <c r="D26" s="64"/>
      <c r="E26" s="64"/>
      <c r="F26" s="64"/>
      <c r="G26" s="64"/>
      <c r="H26" s="64"/>
      <c r="I26" s="64"/>
    </row>
    <row r="27" ht="13.5" customHeight="1">
      <c r="A27" s="64"/>
      <c r="B27" s="64"/>
      <c r="C27" s="64"/>
      <c r="D27" s="64"/>
      <c r="E27" s="64"/>
      <c r="F27" s="64"/>
      <c r="G27" s="64"/>
      <c r="H27" s="64"/>
      <c r="I27" s="64"/>
    </row>
    <row r="28" ht="13.5" customHeight="1">
      <c r="A28" s="64"/>
      <c r="B28" s="64"/>
      <c r="C28" s="64"/>
      <c r="D28" s="64"/>
      <c r="E28" s="64"/>
      <c r="F28" s="64"/>
      <c r="G28" s="64"/>
      <c r="H28" s="64"/>
      <c r="I28" s="64"/>
    </row>
    <row r="29" ht="13.5" customHeight="1">
      <c r="A29" s="64"/>
      <c r="B29" s="64"/>
      <c r="C29" s="64"/>
      <c r="D29" s="64"/>
      <c r="E29" s="64"/>
      <c r="F29" s="64"/>
      <c r="G29" s="64"/>
      <c r="H29" s="64"/>
      <c r="I29" s="64"/>
    </row>
    <row r="30" ht="13.5" customHeight="1">
      <c r="A30" s="64"/>
      <c r="B30" s="64"/>
      <c r="C30" s="64"/>
      <c r="D30" s="64"/>
      <c r="E30" s="64"/>
      <c r="F30" s="64"/>
      <c r="G30" s="64"/>
      <c r="H30" s="64"/>
      <c r="I30" s="64"/>
    </row>
    <row r="31" ht="13.5" customHeight="1">
      <c r="A31" s="64"/>
      <c r="B31" s="64"/>
      <c r="C31" s="64"/>
      <c r="D31" s="64"/>
      <c r="E31" s="64"/>
      <c r="F31" s="64"/>
      <c r="G31" s="64"/>
      <c r="H31" s="64"/>
      <c r="I31" s="64"/>
    </row>
    <row r="32" ht="13.5" customHeight="1">
      <c r="A32" s="64"/>
      <c r="B32" s="64"/>
      <c r="C32" s="64"/>
      <c r="D32" s="64"/>
      <c r="E32" s="64"/>
      <c r="F32" s="64"/>
      <c r="G32" s="64"/>
      <c r="H32" s="64"/>
      <c r="I32" s="64"/>
    </row>
    <row r="33" ht="13.5" customHeight="1">
      <c r="A33" s="64"/>
      <c r="B33" s="64"/>
      <c r="C33" s="64"/>
      <c r="D33" s="64"/>
      <c r="E33" s="64"/>
      <c r="F33" s="64"/>
      <c r="G33" s="64"/>
      <c r="H33" s="64"/>
      <c r="I33" s="64"/>
    </row>
    <row r="34" ht="13.5" customHeight="1">
      <c r="A34" s="64"/>
      <c r="B34" s="64"/>
      <c r="C34" s="64"/>
      <c r="D34" s="64"/>
      <c r="E34" s="64"/>
      <c r="F34" s="64"/>
      <c r="G34" s="64"/>
      <c r="H34" s="64"/>
      <c r="I34" s="64"/>
    </row>
    <row r="35" ht="13.5" customHeight="1">
      <c r="A35" s="64"/>
      <c r="B35" s="64"/>
      <c r="C35" s="64"/>
      <c r="D35" s="64"/>
      <c r="E35" s="64"/>
      <c r="F35" s="64"/>
      <c r="G35" s="64"/>
      <c r="H35" s="64"/>
      <c r="I35" s="64"/>
    </row>
    <row r="36" ht="13.5" customHeight="1">
      <c r="A36" s="64"/>
      <c r="B36" s="64"/>
      <c r="C36" s="64"/>
      <c r="D36" s="64"/>
      <c r="E36" s="64"/>
      <c r="F36" s="64"/>
      <c r="G36" s="64"/>
      <c r="H36" s="64"/>
      <c r="I36" s="64"/>
    </row>
    <row r="37" ht="13.5" customHeight="1">
      <c r="A37" s="64"/>
      <c r="B37" s="64"/>
      <c r="C37" s="64"/>
      <c r="D37" s="64"/>
      <c r="E37" s="64"/>
      <c r="F37" s="64"/>
      <c r="G37" s="64"/>
      <c r="H37" s="64"/>
      <c r="I37" s="64"/>
    </row>
    <row r="38" ht="13.5" customHeight="1">
      <c r="A38" s="64"/>
      <c r="B38" s="64"/>
      <c r="C38" s="64"/>
      <c r="D38" s="64"/>
      <c r="E38" s="64"/>
      <c r="F38" s="64"/>
      <c r="G38" s="64"/>
      <c r="H38" s="64"/>
      <c r="I38" s="64"/>
    </row>
    <row r="39" ht="13.5" customHeight="1">
      <c r="A39" s="64"/>
      <c r="B39" s="64"/>
      <c r="C39" s="64"/>
      <c r="D39" s="64"/>
      <c r="E39" s="64"/>
      <c r="F39" s="64"/>
      <c r="G39" s="64"/>
      <c r="H39" s="64"/>
      <c r="I39" s="64"/>
    </row>
    <row r="40" ht="13.5" customHeight="1">
      <c r="A40" s="64"/>
      <c r="B40" s="64"/>
      <c r="C40" s="64"/>
      <c r="D40" s="64"/>
      <c r="E40" s="64"/>
      <c r="F40" s="64"/>
      <c r="G40" s="64"/>
      <c r="H40" s="64"/>
      <c r="I40" s="64"/>
    </row>
    <row r="41" ht="13.5" customHeight="1">
      <c r="A41" s="64"/>
      <c r="B41" s="64"/>
      <c r="C41" s="64"/>
      <c r="D41" s="64"/>
      <c r="E41" s="64"/>
      <c r="F41" s="64"/>
      <c r="G41" s="64"/>
      <c r="H41" s="64"/>
      <c r="I41" s="64"/>
    </row>
    <row r="42" ht="13.5" customHeight="1">
      <c r="A42" s="64"/>
      <c r="B42" s="64"/>
      <c r="C42" s="64"/>
      <c r="D42" s="64"/>
      <c r="E42" s="64"/>
      <c r="F42" s="64"/>
      <c r="G42" s="64"/>
      <c r="H42" s="64"/>
      <c r="I42" s="64"/>
    </row>
    <row r="43" ht="13.5" customHeight="1">
      <c r="A43" s="64"/>
      <c r="B43" s="64"/>
      <c r="C43" s="64"/>
      <c r="D43" s="64"/>
      <c r="E43" s="64"/>
      <c r="F43" s="64"/>
      <c r="G43" s="64"/>
      <c r="H43" s="64"/>
      <c r="I43" s="64"/>
    </row>
    <row r="44" ht="13.5" customHeight="1">
      <c r="A44" s="64"/>
      <c r="B44" s="64"/>
      <c r="C44" s="64"/>
      <c r="D44" s="64"/>
      <c r="E44" s="64"/>
      <c r="F44" s="64"/>
      <c r="G44" s="64"/>
      <c r="H44" s="64"/>
      <c r="I44" s="64"/>
    </row>
    <row r="45" ht="13.5" customHeight="1">
      <c r="A45" s="64"/>
      <c r="B45" s="64"/>
      <c r="C45" s="64"/>
      <c r="D45" s="64"/>
      <c r="E45" s="64"/>
      <c r="F45" s="64"/>
      <c r="G45" s="64"/>
      <c r="H45" s="64"/>
      <c r="I45" s="64"/>
    </row>
    <row r="46" ht="13.5" customHeight="1">
      <c r="A46" s="64"/>
      <c r="B46" s="64"/>
      <c r="C46" s="64"/>
      <c r="D46" s="64"/>
      <c r="E46" s="64"/>
      <c r="F46" s="64"/>
      <c r="G46" s="64"/>
      <c r="H46" s="64"/>
      <c r="I46" s="64"/>
    </row>
    <row r="47" ht="13.5" customHeight="1">
      <c r="A47" s="64"/>
      <c r="B47" s="64"/>
      <c r="C47" s="64"/>
      <c r="D47" s="64"/>
      <c r="E47" s="64"/>
      <c r="F47" s="64"/>
      <c r="G47" s="64"/>
      <c r="H47" s="64"/>
      <c r="I47" s="64"/>
    </row>
    <row r="48" ht="13.5" customHeight="1">
      <c r="A48" s="64"/>
      <c r="B48" s="64"/>
      <c r="C48" s="64"/>
      <c r="D48" s="64"/>
      <c r="E48" s="64"/>
      <c r="F48" s="64"/>
      <c r="G48" s="64"/>
      <c r="H48" s="64"/>
      <c r="I48" s="64"/>
    </row>
    <row r="49" ht="13.5" customHeight="1">
      <c r="A49" s="64"/>
      <c r="B49" s="64"/>
      <c r="C49" s="64"/>
      <c r="D49" s="64"/>
      <c r="E49" s="64"/>
      <c r="F49" s="64"/>
      <c r="G49" s="64"/>
      <c r="H49" s="64"/>
      <c r="I49" s="64"/>
    </row>
    <row r="50" ht="13.5" customHeight="1">
      <c r="A50" s="64"/>
      <c r="B50" s="64"/>
      <c r="C50" s="64"/>
      <c r="D50" s="64"/>
      <c r="E50" s="64"/>
      <c r="F50" s="64"/>
      <c r="G50" s="64"/>
      <c r="H50" s="64"/>
      <c r="I50" s="64"/>
    </row>
    <row r="51" ht="13.5" customHeight="1">
      <c r="A51" s="64"/>
      <c r="B51" s="64"/>
      <c r="C51" s="64"/>
      <c r="D51" s="64"/>
      <c r="E51" s="64"/>
      <c r="F51" s="64"/>
      <c r="G51" s="64"/>
      <c r="H51" s="64"/>
      <c r="I51" s="64"/>
    </row>
    <row r="52" ht="13.5" customHeight="1">
      <c r="A52" s="64"/>
      <c r="B52" s="64"/>
      <c r="C52" s="64"/>
      <c r="D52" s="64"/>
      <c r="E52" s="64"/>
      <c r="F52" s="64"/>
      <c r="G52" s="64"/>
      <c r="H52" s="64"/>
      <c r="I52" s="64"/>
    </row>
    <row r="53" ht="13.5" customHeight="1">
      <c r="A53" s="64"/>
      <c r="B53" s="64"/>
      <c r="C53" s="64"/>
      <c r="D53" s="64"/>
      <c r="E53" s="64"/>
      <c r="F53" s="64"/>
      <c r="G53" s="64"/>
      <c r="H53" s="64"/>
      <c r="I53" s="64"/>
    </row>
    <row r="54" ht="13.5" customHeight="1">
      <c r="A54" s="64"/>
      <c r="B54" s="64"/>
      <c r="C54" s="64"/>
      <c r="D54" s="64"/>
      <c r="E54" s="64"/>
      <c r="F54" s="64"/>
      <c r="G54" s="64"/>
      <c r="H54" s="64"/>
      <c r="I54" s="64"/>
    </row>
    <row r="55" ht="13.5" customHeight="1">
      <c r="A55" s="64"/>
      <c r="B55" s="64"/>
      <c r="C55" s="64"/>
      <c r="D55" s="64"/>
      <c r="E55" s="64"/>
      <c r="F55" s="64"/>
      <c r="G55" s="64"/>
      <c r="H55" s="64"/>
      <c r="I55" s="64"/>
    </row>
    <row r="56" ht="13.5" customHeight="1">
      <c r="A56" s="64"/>
      <c r="B56" s="64"/>
      <c r="C56" s="64"/>
      <c r="D56" s="64"/>
      <c r="E56" s="64"/>
      <c r="F56" s="64"/>
      <c r="G56" s="64"/>
      <c r="H56" s="64"/>
      <c r="I56" s="64"/>
    </row>
    <row r="57" ht="13.5" customHeight="1">
      <c r="A57" s="64"/>
      <c r="B57" s="64"/>
      <c r="C57" s="64"/>
      <c r="D57" s="64"/>
      <c r="E57" s="64"/>
      <c r="F57" s="64"/>
      <c r="G57" s="64"/>
      <c r="H57" s="64"/>
      <c r="I57" s="64"/>
    </row>
    <row r="58" ht="13.5" customHeight="1">
      <c r="A58" s="64"/>
      <c r="B58" s="64"/>
      <c r="C58" s="64"/>
      <c r="D58" s="64"/>
      <c r="E58" s="64"/>
      <c r="F58" s="64"/>
      <c r="G58" s="64"/>
      <c r="H58" s="64"/>
      <c r="I58" s="64"/>
    </row>
    <row r="59" ht="13.5" customHeight="1">
      <c r="A59" s="64"/>
      <c r="B59" s="64"/>
      <c r="C59" s="64"/>
      <c r="D59" s="64"/>
      <c r="E59" s="64"/>
      <c r="F59" s="64"/>
      <c r="G59" s="64"/>
      <c r="H59" s="64"/>
      <c r="I59" s="64"/>
    </row>
    <row r="60" ht="13.5" customHeight="1">
      <c r="A60" s="64"/>
      <c r="B60" s="64"/>
      <c r="C60" s="64"/>
      <c r="D60" s="64"/>
      <c r="E60" s="64"/>
      <c r="F60" s="64"/>
      <c r="G60" s="64"/>
      <c r="H60" s="64"/>
      <c r="I60" s="64"/>
    </row>
    <row r="61" ht="13.5" customHeight="1">
      <c r="A61" s="64"/>
      <c r="B61" s="64"/>
      <c r="C61" s="64"/>
      <c r="D61" s="64"/>
      <c r="E61" s="64"/>
      <c r="F61" s="64"/>
      <c r="G61" s="64"/>
      <c r="H61" s="64"/>
      <c r="I61" s="64"/>
    </row>
    <row r="62" ht="13.5" customHeight="1">
      <c r="A62" s="64"/>
      <c r="B62" s="64"/>
      <c r="C62" s="64"/>
      <c r="D62" s="64"/>
      <c r="E62" s="64"/>
      <c r="F62" s="64"/>
      <c r="G62" s="64"/>
      <c r="H62" s="64"/>
      <c r="I62" s="64"/>
    </row>
    <row r="63" ht="13.5" customHeight="1">
      <c r="A63" s="64"/>
      <c r="B63" s="64"/>
      <c r="C63" s="64"/>
      <c r="D63" s="64"/>
      <c r="E63" s="64"/>
      <c r="F63" s="64"/>
      <c r="G63" s="64"/>
      <c r="H63" s="64"/>
      <c r="I63" s="64"/>
    </row>
    <row r="64" ht="13.5" customHeight="1">
      <c r="A64" s="64"/>
      <c r="B64" s="64"/>
      <c r="C64" s="64"/>
      <c r="D64" s="64"/>
      <c r="E64" s="64"/>
      <c r="F64" s="64"/>
      <c r="G64" s="64"/>
      <c r="H64" s="64"/>
      <c r="I64" s="64"/>
    </row>
    <row r="65" ht="13.5" customHeight="1">
      <c r="A65" s="64"/>
      <c r="B65" s="64"/>
      <c r="C65" s="64"/>
      <c r="D65" s="64"/>
      <c r="E65" s="64"/>
      <c r="F65" s="64"/>
      <c r="G65" s="64"/>
      <c r="H65" s="64"/>
      <c r="I65" s="64"/>
    </row>
    <row r="66" ht="13.5" customHeight="1">
      <c r="A66" s="64"/>
      <c r="B66" s="64"/>
      <c r="C66" s="64"/>
      <c r="D66" s="64"/>
      <c r="E66" s="64"/>
      <c r="F66" s="64"/>
      <c r="G66" s="64"/>
      <c r="H66" s="64"/>
      <c r="I66" s="64"/>
    </row>
    <row r="67" ht="13.5" customHeight="1">
      <c r="A67" s="64"/>
      <c r="B67" s="64"/>
      <c r="C67" s="64"/>
      <c r="D67" s="64"/>
      <c r="E67" s="64"/>
      <c r="F67" s="64"/>
      <c r="G67" s="64"/>
      <c r="H67" s="64"/>
      <c r="I67" s="64"/>
    </row>
    <row r="68" ht="13.5" customHeight="1">
      <c r="A68" s="64"/>
      <c r="B68" s="64"/>
      <c r="C68" s="64"/>
      <c r="D68" s="64"/>
      <c r="E68" s="64"/>
      <c r="F68" s="64"/>
      <c r="G68" s="64"/>
      <c r="H68" s="64"/>
      <c r="I68" s="64"/>
    </row>
    <row r="69" ht="13.5" customHeight="1">
      <c r="A69" s="64"/>
      <c r="B69" s="64"/>
      <c r="C69" s="64"/>
      <c r="D69" s="64"/>
      <c r="E69" s="64"/>
      <c r="F69" s="64"/>
      <c r="G69" s="64"/>
      <c r="H69" s="64"/>
      <c r="I69" s="64"/>
    </row>
    <row r="70" ht="13.5" customHeight="1">
      <c r="A70" s="64"/>
      <c r="B70" s="64"/>
      <c r="C70" s="64"/>
      <c r="D70" s="64"/>
      <c r="E70" s="64"/>
      <c r="F70" s="64"/>
      <c r="G70" s="64"/>
      <c r="H70" s="64"/>
      <c r="I70" s="64"/>
    </row>
    <row r="71" ht="13.5" customHeight="1">
      <c r="A71" s="64"/>
      <c r="B71" s="64"/>
      <c r="C71" s="64"/>
      <c r="D71" s="64"/>
      <c r="E71" s="64"/>
      <c r="F71" s="64"/>
      <c r="G71" s="64"/>
      <c r="H71" s="64"/>
      <c r="I71" s="64"/>
    </row>
    <row r="72" ht="13.5" customHeight="1">
      <c r="A72" s="64"/>
      <c r="B72" s="64"/>
      <c r="C72" s="64"/>
      <c r="D72" s="64"/>
      <c r="E72" s="64"/>
      <c r="F72" s="64"/>
      <c r="G72" s="64"/>
      <c r="H72" s="64"/>
      <c r="I72" s="64"/>
    </row>
    <row r="73" ht="13.5" customHeight="1">
      <c r="A73" s="64"/>
      <c r="B73" s="64"/>
      <c r="C73" s="64"/>
      <c r="D73" s="64"/>
      <c r="E73" s="64"/>
      <c r="F73" s="64"/>
      <c r="G73" s="64"/>
      <c r="H73" s="64"/>
      <c r="I73" s="64"/>
    </row>
    <row r="74" ht="13.5" customHeight="1">
      <c r="A74" s="64"/>
      <c r="B74" s="64"/>
      <c r="C74" s="64"/>
      <c r="D74" s="64"/>
      <c r="E74" s="64"/>
      <c r="F74" s="64"/>
      <c r="G74" s="64"/>
      <c r="H74" s="64"/>
      <c r="I74" s="64"/>
    </row>
    <row r="75" ht="13.5" customHeight="1">
      <c r="A75" s="64"/>
      <c r="B75" s="64"/>
      <c r="C75" s="64"/>
      <c r="D75" s="64"/>
      <c r="E75" s="64"/>
      <c r="F75" s="64"/>
      <c r="G75" s="64"/>
      <c r="H75" s="64"/>
      <c r="I75" s="64"/>
    </row>
    <row r="76" ht="13.5" customHeight="1">
      <c r="A76" s="64"/>
      <c r="B76" s="64"/>
      <c r="C76" s="64"/>
      <c r="D76" s="64"/>
      <c r="E76" s="64"/>
      <c r="F76" s="64"/>
      <c r="G76" s="64"/>
      <c r="H76" s="64"/>
      <c r="I76" s="64"/>
    </row>
    <row r="77" ht="13.5" customHeight="1">
      <c r="A77" s="64"/>
      <c r="B77" s="64"/>
      <c r="C77" s="64"/>
      <c r="D77" s="64"/>
      <c r="E77" s="64"/>
      <c r="F77" s="64"/>
      <c r="G77" s="64"/>
      <c r="H77" s="64"/>
      <c r="I77" s="64"/>
    </row>
    <row r="78" ht="13.5" customHeight="1">
      <c r="A78" s="64"/>
      <c r="B78" s="64"/>
      <c r="C78" s="64"/>
      <c r="D78" s="64"/>
      <c r="E78" s="64"/>
      <c r="F78" s="64"/>
      <c r="G78" s="64"/>
      <c r="H78" s="64"/>
      <c r="I78" s="64"/>
    </row>
    <row r="79" ht="13.5" customHeight="1">
      <c r="A79" s="64"/>
      <c r="B79" s="64"/>
      <c r="C79" s="64"/>
      <c r="D79" s="64"/>
      <c r="E79" s="64"/>
      <c r="F79" s="64"/>
      <c r="G79" s="64"/>
      <c r="H79" s="64"/>
      <c r="I79" s="64"/>
    </row>
    <row r="80" ht="13.5" customHeight="1">
      <c r="A80" s="64"/>
      <c r="B80" s="64"/>
      <c r="C80" s="64"/>
      <c r="D80" s="64"/>
      <c r="E80" s="64"/>
      <c r="F80" s="64"/>
      <c r="G80" s="64"/>
      <c r="H80" s="64"/>
      <c r="I80" s="64"/>
    </row>
    <row r="81" ht="13.5" customHeight="1">
      <c r="A81" s="64"/>
      <c r="B81" s="64"/>
      <c r="C81" s="64"/>
      <c r="D81" s="64"/>
      <c r="E81" s="64"/>
      <c r="F81" s="64"/>
      <c r="G81" s="64"/>
      <c r="H81" s="64"/>
      <c r="I81" s="64"/>
    </row>
    <row r="82" ht="13.5" customHeight="1">
      <c r="A82" s="64"/>
      <c r="B82" s="64"/>
      <c r="C82" s="64"/>
      <c r="D82" s="64"/>
      <c r="E82" s="64"/>
      <c r="F82" s="64"/>
      <c r="G82" s="64"/>
      <c r="H82" s="64"/>
      <c r="I82" s="64"/>
    </row>
    <row r="83" ht="13.5" customHeight="1">
      <c r="A83" s="64"/>
      <c r="B83" s="64"/>
      <c r="C83" s="64"/>
      <c r="D83" s="64"/>
      <c r="E83" s="64"/>
      <c r="F83" s="64"/>
      <c r="G83" s="64"/>
      <c r="H83" s="64"/>
      <c r="I83" s="64"/>
    </row>
    <row r="84" ht="13.5" customHeight="1">
      <c r="A84" s="64"/>
      <c r="B84" s="64"/>
      <c r="C84" s="64"/>
      <c r="D84" s="64"/>
      <c r="E84" s="64"/>
      <c r="F84" s="64"/>
      <c r="G84" s="64"/>
      <c r="H84" s="64"/>
      <c r="I84" s="64"/>
    </row>
    <row r="85" ht="13.5" customHeight="1">
      <c r="A85" s="64"/>
      <c r="B85" s="64"/>
      <c r="C85" s="64"/>
      <c r="D85" s="64"/>
      <c r="E85" s="64"/>
      <c r="F85" s="64"/>
      <c r="G85" s="64"/>
      <c r="H85" s="64"/>
      <c r="I85" s="64"/>
    </row>
    <row r="86" ht="13.5" customHeight="1">
      <c r="A86" s="64"/>
      <c r="B86" s="64"/>
      <c r="C86" s="64"/>
      <c r="D86" s="64"/>
      <c r="E86" s="64"/>
      <c r="F86" s="64"/>
      <c r="G86" s="64"/>
      <c r="H86" s="64"/>
      <c r="I86" s="64"/>
    </row>
    <row r="87" ht="13.5" customHeight="1">
      <c r="A87" s="64"/>
      <c r="B87" s="64"/>
      <c r="C87" s="64"/>
      <c r="D87" s="64"/>
      <c r="E87" s="64"/>
      <c r="F87" s="64"/>
      <c r="G87" s="64"/>
      <c r="H87" s="64"/>
      <c r="I87" s="64"/>
    </row>
    <row r="88" ht="13.5" customHeight="1">
      <c r="A88" s="64"/>
      <c r="B88" s="64"/>
      <c r="C88" s="64"/>
      <c r="D88" s="64"/>
      <c r="E88" s="64"/>
      <c r="F88" s="64"/>
      <c r="G88" s="64"/>
      <c r="H88" s="64"/>
      <c r="I88" s="64"/>
    </row>
    <row r="89" ht="13.5" customHeight="1">
      <c r="A89" s="64"/>
      <c r="B89" s="64"/>
      <c r="C89" s="64"/>
      <c r="D89" s="64"/>
      <c r="E89" s="64"/>
      <c r="F89" s="64"/>
      <c r="G89" s="64"/>
      <c r="H89" s="64"/>
      <c r="I89" s="64"/>
    </row>
    <row r="90" ht="13.5" customHeight="1">
      <c r="A90" s="64"/>
      <c r="B90" s="64"/>
      <c r="C90" s="64"/>
      <c r="D90" s="64"/>
      <c r="E90" s="64"/>
      <c r="F90" s="64"/>
      <c r="G90" s="64"/>
      <c r="H90" s="64"/>
      <c r="I90" s="64"/>
    </row>
    <row r="91" ht="13.5" customHeight="1">
      <c r="A91" s="64"/>
      <c r="B91" s="64"/>
      <c r="C91" s="64"/>
      <c r="D91" s="64"/>
      <c r="E91" s="64"/>
      <c r="F91" s="64"/>
      <c r="G91" s="64"/>
      <c r="H91" s="64"/>
      <c r="I91" s="64"/>
    </row>
    <row r="92" ht="13.5" customHeight="1">
      <c r="A92" s="64"/>
      <c r="B92" s="64"/>
      <c r="C92" s="64"/>
      <c r="D92" s="64"/>
      <c r="E92" s="64"/>
      <c r="F92" s="64"/>
      <c r="G92" s="64"/>
      <c r="H92" s="64"/>
      <c r="I92" s="64"/>
    </row>
    <row r="93" ht="13.5" customHeight="1">
      <c r="A93" s="64"/>
      <c r="B93" s="64"/>
      <c r="C93" s="64"/>
      <c r="D93" s="64"/>
      <c r="E93" s="64"/>
      <c r="F93" s="64"/>
      <c r="G93" s="64"/>
      <c r="H93" s="64"/>
      <c r="I93" s="64"/>
    </row>
    <row r="94" ht="13.5" customHeight="1">
      <c r="A94" s="64"/>
      <c r="B94" s="64"/>
      <c r="C94" s="64"/>
      <c r="D94" s="64"/>
      <c r="E94" s="64"/>
      <c r="F94" s="64"/>
      <c r="G94" s="64"/>
      <c r="H94" s="64"/>
      <c r="I94" s="64"/>
    </row>
    <row r="95" ht="13.5" customHeight="1">
      <c r="A95" s="64"/>
      <c r="B95" s="64"/>
      <c r="C95" s="64"/>
      <c r="D95" s="64"/>
      <c r="E95" s="64"/>
      <c r="F95" s="64"/>
      <c r="G95" s="64"/>
      <c r="H95" s="64"/>
      <c r="I95" s="64"/>
    </row>
    <row r="96" ht="13.5" customHeight="1">
      <c r="A96" s="64"/>
      <c r="B96" s="64"/>
      <c r="C96" s="64"/>
      <c r="D96" s="64"/>
      <c r="E96" s="64"/>
      <c r="F96" s="64"/>
      <c r="G96" s="64"/>
      <c r="H96" s="64"/>
      <c r="I96" s="64"/>
    </row>
    <row r="97" ht="13.5" customHeight="1">
      <c r="A97" s="64"/>
      <c r="B97" s="64"/>
      <c r="C97" s="64"/>
      <c r="D97" s="64"/>
      <c r="E97" s="64"/>
      <c r="F97" s="64"/>
      <c r="G97" s="64"/>
      <c r="H97" s="64"/>
      <c r="I97" s="64"/>
    </row>
    <row r="98" ht="13.5" customHeight="1">
      <c r="A98" s="64"/>
      <c r="B98" s="64"/>
      <c r="C98" s="64"/>
      <c r="D98" s="64"/>
      <c r="E98" s="64"/>
      <c r="F98" s="64"/>
      <c r="G98" s="64"/>
      <c r="H98" s="64"/>
      <c r="I98" s="64"/>
    </row>
    <row r="99" ht="13.5" customHeight="1">
      <c r="A99" s="64"/>
      <c r="B99" s="64"/>
      <c r="C99" s="64"/>
      <c r="D99" s="64"/>
      <c r="E99" s="64"/>
      <c r="F99" s="64"/>
      <c r="G99" s="64"/>
      <c r="H99" s="64"/>
      <c r="I99" s="64"/>
    </row>
    <row r="100" ht="13.5" customHeight="1">
      <c r="A100" s="64"/>
      <c r="B100" s="64"/>
      <c r="C100" s="64"/>
      <c r="D100" s="64"/>
      <c r="E100" s="64"/>
      <c r="F100" s="64"/>
      <c r="G100" s="64"/>
      <c r="H100" s="64"/>
      <c r="I100" s="64"/>
    </row>
    <row r="101" ht="13.5" customHeight="1">
      <c r="A101" s="64"/>
      <c r="B101" s="64"/>
      <c r="C101" s="64"/>
      <c r="D101" s="64"/>
      <c r="E101" s="64"/>
      <c r="F101" s="64"/>
      <c r="G101" s="64"/>
      <c r="H101" s="64"/>
      <c r="I101" s="64"/>
    </row>
    <row r="102" ht="13.5" customHeight="1">
      <c r="A102" s="64"/>
      <c r="B102" s="64"/>
      <c r="C102" s="64"/>
      <c r="D102" s="64"/>
      <c r="E102" s="64"/>
      <c r="F102" s="64"/>
      <c r="G102" s="64"/>
      <c r="H102" s="64"/>
      <c r="I102" s="64"/>
    </row>
    <row r="103" ht="13.5" customHeight="1">
      <c r="A103" s="64"/>
      <c r="B103" s="64"/>
      <c r="C103" s="64"/>
      <c r="D103" s="64"/>
      <c r="E103" s="64"/>
      <c r="F103" s="64"/>
      <c r="G103" s="64"/>
      <c r="H103" s="64"/>
      <c r="I103" s="64"/>
    </row>
    <row r="104" ht="13.5" customHeight="1">
      <c r="A104" s="64"/>
      <c r="B104" s="64"/>
      <c r="C104" s="64"/>
      <c r="D104" s="64"/>
      <c r="E104" s="64"/>
      <c r="F104" s="64"/>
      <c r="G104" s="64"/>
      <c r="H104" s="64"/>
      <c r="I104" s="64"/>
    </row>
    <row r="105" ht="13.5" customHeight="1">
      <c r="A105" s="64"/>
      <c r="B105" s="64"/>
      <c r="C105" s="64"/>
      <c r="D105" s="64"/>
      <c r="E105" s="64"/>
      <c r="F105" s="64"/>
      <c r="G105" s="64"/>
      <c r="H105" s="64"/>
      <c r="I105" s="64"/>
    </row>
    <row r="106" ht="13.5" customHeight="1">
      <c r="A106" s="64"/>
      <c r="B106" s="64"/>
      <c r="C106" s="64"/>
      <c r="D106" s="64"/>
      <c r="E106" s="64"/>
      <c r="F106" s="64"/>
      <c r="G106" s="64"/>
      <c r="H106" s="64"/>
      <c r="I106" s="64"/>
    </row>
    <row r="107" ht="13.5" customHeight="1">
      <c r="A107" s="64"/>
      <c r="B107" s="64"/>
      <c r="C107" s="64"/>
      <c r="D107" s="64"/>
      <c r="E107" s="64"/>
      <c r="F107" s="64"/>
      <c r="G107" s="64"/>
      <c r="H107" s="64"/>
      <c r="I107" s="64"/>
    </row>
    <row r="108" ht="13.5" customHeight="1">
      <c r="A108" s="64"/>
      <c r="B108" s="64"/>
      <c r="C108" s="64"/>
      <c r="D108" s="64"/>
      <c r="E108" s="64"/>
      <c r="F108" s="64"/>
      <c r="G108" s="64"/>
      <c r="H108" s="64"/>
      <c r="I108" s="64"/>
    </row>
    <row r="109" ht="13.5" customHeight="1">
      <c r="A109" s="64"/>
      <c r="B109" s="64"/>
      <c r="C109" s="64"/>
      <c r="D109" s="64"/>
      <c r="E109" s="64"/>
      <c r="F109" s="64"/>
      <c r="G109" s="64"/>
      <c r="H109" s="64"/>
      <c r="I109" s="64"/>
    </row>
    <row r="110" ht="13.5" customHeight="1">
      <c r="A110" s="64"/>
      <c r="B110" s="64"/>
      <c r="C110" s="64"/>
      <c r="D110" s="64"/>
      <c r="E110" s="64"/>
      <c r="F110" s="64"/>
      <c r="G110" s="64"/>
      <c r="H110" s="64"/>
      <c r="I110" s="64"/>
    </row>
    <row r="111" ht="13.5" customHeight="1">
      <c r="A111" s="64"/>
      <c r="B111" s="64"/>
      <c r="C111" s="64"/>
      <c r="D111" s="64"/>
      <c r="E111" s="64"/>
      <c r="F111" s="64"/>
      <c r="G111" s="64"/>
      <c r="H111" s="64"/>
      <c r="I111" s="64"/>
    </row>
    <row r="112" ht="13.5" customHeight="1">
      <c r="A112" s="64"/>
      <c r="B112" s="64"/>
      <c r="C112" s="64"/>
      <c r="D112" s="64"/>
      <c r="E112" s="64"/>
      <c r="F112" s="64"/>
      <c r="G112" s="64"/>
      <c r="H112" s="64"/>
      <c r="I112" s="64"/>
    </row>
    <row r="113" ht="13.5" customHeight="1">
      <c r="A113" s="64"/>
      <c r="B113" s="64"/>
      <c r="C113" s="64"/>
      <c r="D113" s="64"/>
      <c r="E113" s="64"/>
      <c r="F113" s="64"/>
      <c r="G113" s="64"/>
      <c r="H113" s="64"/>
      <c r="I113" s="64"/>
    </row>
    <row r="114" ht="13.5" customHeight="1">
      <c r="A114" s="64"/>
      <c r="B114" s="64"/>
      <c r="C114" s="64"/>
      <c r="D114" s="64"/>
      <c r="E114" s="64"/>
      <c r="F114" s="64"/>
      <c r="G114" s="64"/>
      <c r="H114" s="64"/>
      <c r="I114" s="64"/>
    </row>
    <row r="115" ht="13.5" customHeight="1">
      <c r="A115" s="64"/>
      <c r="B115" s="64"/>
      <c r="C115" s="64"/>
      <c r="D115" s="64"/>
      <c r="E115" s="64"/>
      <c r="F115" s="64"/>
      <c r="G115" s="64"/>
      <c r="H115" s="64"/>
      <c r="I115" s="64"/>
    </row>
    <row r="116" ht="13.5" customHeight="1">
      <c r="A116" s="64"/>
      <c r="B116" s="64"/>
      <c r="C116" s="64"/>
      <c r="D116" s="64"/>
      <c r="E116" s="64"/>
      <c r="F116" s="64"/>
      <c r="G116" s="64"/>
      <c r="H116" s="64"/>
      <c r="I116" s="64"/>
    </row>
    <row r="117" ht="13.5" customHeight="1">
      <c r="A117" s="64"/>
      <c r="B117" s="64"/>
      <c r="C117" s="64"/>
      <c r="D117" s="64"/>
      <c r="E117" s="64"/>
      <c r="F117" s="64"/>
      <c r="G117" s="64"/>
      <c r="H117" s="64"/>
      <c r="I117" s="64"/>
    </row>
    <row r="118" ht="13.5" customHeight="1">
      <c r="A118" s="64"/>
      <c r="B118" s="64"/>
      <c r="C118" s="64"/>
      <c r="D118" s="64"/>
      <c r="E118" s="64"/>
      <c r="F118" s="64"/>
      <c r="G118" s="64"/>
      <c r="H118" s="64"/>
      <c r="I118" s="64"/>
    </row>
    <row r="119" ht="13.5" customHeight="1">
      <c r="A119" s="64"/>
      <c r="B119" s="64"/>
      <c r="C119" s="64"/>
      <c r="D119" s="64"/>
      <c r="E119" s="64"/>
      <c r="F119" s="64"/>
      <c r="G119" s="64"/>
      <c r="H119" s="64"/>
      <c r="I119" s="64"/>
    </row>
    <row r="120" ht="13.5" customHeight="1">
      <c r="A120" s="64"/>
      <c r="B120" s="64"/>
      <c r="C120" s="64"/>
      <c r="D120" s="64"/>
      <c r="E120" s="64"/>
      <c r="F120" s="64"/>
      <c r="G120" s="64"/>
      <c r="H120" s="64"/>
      <c r="I120" s="64"/>
    </row>
    <row r="121" ht="13.5" customHeight="1">
      <c r="A121" s="67"/>
      <c r="B121" s="67"/>
      <c r="C121" s="67"/>
      <c r="D121" s="67"/>
      <c r="E121" s="67"/>
      <c r="F121" s="67"/>
      <c r="G121" s="67"/>
      <c r="H121" s="67"/>
      <c r="I121" s="67"/>
    </row>
    <row r="122" ht="13.5" customHeight="1">
      <c r="A122" s="67"/>
      <c r="B122" s="67"/>
      <c r="C122" s="67"/>
      <c r="D122" s="67"/>
      <c r="E122" s="67"/>
      <c r="F122" s="67"/>
      <c r="G122" s="67"/>
      <c r="H122" s="67"/>
      <c r="I122" s="67"/>
    </row>
    <row r="123" ht="13.5" customHeight="1">
      <c r="A123" s="67"/>
      <c r="B123" s="67"/>
      <c r="C123" s="67"/>
      <c r="D123" s="67"/>
      <c r="E123" s="67"/>
      <c r="F123" s="67"/>
      <c r="G123" s="67"/>
      <c r="H123" s="67"/>
      <c r="I123" s="67"/>
    </row>
    <row r="124" ht="13.5" customHeight="1">
      <c r="A124" s="67"/>
      <c r="B124" s="67"/>
      <c r="C124" s="67"/>
      <c r="D124" s="67"/>
      <c r="E124" s="67"/>
      <c r="F124" s="67"/>
      <c r="G124" s="67"/>
      <c r="H124" s="67"/>
      <c r="I124" s="67"/>
    </row>
    <row r="125" ht="13.5" customHeight="1">
      <c r="A125" s="67"/>
      <c r="B125" s="67"/>
      <c r="C125" s="67"/>
      <c r="D125" s="67"/>
      <c r="E125" s="67"/>
      <c r="F125" s="67"/>
      <c r="G125" s="67"/>
      <c r="H125" s="67"/>
      <c r="I125" s="67"/>
    </row>
    <row r="126" ht="13.5" customHeight="1">
      <c r="A126" s="67"/>
      <c r="B126" s="67"/>
      <c r="C126" s="67"/>
      <c r="D126" s="67"/>
      <c r="E126" s="67"/>
      <c r="F126" s="67"/>
      <c r="G126" s="67"/>
      <c r="H126" s="67"/>
      <c r="I126" s="67"/>
    </row>
    <row r="127" ht="13.5" customHeight="1">
      <c r="A127" s="67"/>
      <c r="B127" s="67"/>
      <c r="C127" s="67"/>
      <c r="D127" s="67"/>
      <c r="E127" s="67"/>
      <c r="F127" s="67"/>
      <c r="G127" s="67"/>
      <c r="H127" s="67"/>
      <c r="I127" s="67"/>
    </row>
    <row r="128" ht="13.5" customHeight="1">
      <c r="A128" s="67"/>
      <c r="B128" s="67"/>
      <c r="C128" s="67"/>
      <c r="D128" s="67"/>
      <c r="E128" s="67"/>
      <c r="F128" s="67"/>
      <c r="G128" s="67"/>
      <c r="H128" s="67"/>
      <c r="I128" s="67"/>
    </row>
    <row r="129" ht="13.5" customHeight="1">
      <c r="A129" s="67"/>
      <c r="B129" s="67"/>
      <c r="C129" s="67"/>
      <c r="D129" s="67"/>
      <c r="E129" s="67"/>
      <c r="F129" s="67"/>
      <c r="G129" s="67"/>
      <c r="H129" s="67"/>
      <c r="I129" s="67"/>
    </row>
    <row r="130" ht="13.5" customHeight="1">
      <c r="A130" s="67"/>
      <c r="B130" s="67"/>
      <c r="C130" s="67"/>
      <c r="D130" s="67"/>
      <c r="E130" s="67"/>
      <c r="F130" s="67"/>
      <c r="G130" s="67"/>
      <c r="H130" s="67"/>
      <c r="I130" s="67"/>
    </row>
    <row r="131" ht="13.5" customHeight="1">
      <c r="A131" s="67"/>
      <c r="B131" s="67"/>
      <c r="C131" s="67"/>
      <c r="D131" s="67"/>
      <c r="E131" s="67"/>
      <c r="F131" s="67"/>
      <c r="G131" s="67"/>
      <c r="H131" s="67"/>
      <c r="I131" s="67"/>
    </row>
    <row r="132" ht="13.5" customHeight="1">
      <c r="A132" s="67"/>
      <c r="B132" s="67"/>
      <c r="C132" s="67"/>
      <c r="D132" s="67"/>
      <c r="E132" s="67"/>
      <c r="F132" s="67"/>
      <c r="G132" s="67"/>
      <c r="H132" s="67"/>
      <c r="I132" s="67"/>
    </row>
    <row r="133" ht="13.5" customHeight="1">
      <c r="A133" s="67"/>
      <c r="B133" s="67"/>
      <c r="C133" s="67"/>
      <c r="D133" s="67"/>
      <c r="E133" s="67"/>
      <c r="F133" s="67"/>
      <c r="G133" s="67"/>
      <c r="H133" s="67"/>
      <c r="I133" s="67"/>
    </row>
    <row r="134" ht="13.5" customHeight="1">
      <c r="A134" s="67"/>
      <c r="B134" s="67"/>
      <c r="C134" s="67"/>
      <c r="D134" s="67"/>
      <c r="E134" s="67"/>
      <c r="F134" s="67"/>
      <c r="G134" s="67"/>
      <c r="H134" s="67"/>
      <c r="I134" s="67"/>
    </row>
    <row r="135" ht="13.5" customHeight="1">
      <c r="A135" s="67"/>
      <c r="B135" s="67"/>
      <c r="C135" s="67"/>
      <c r="D135" s="67"/>
      <c r="E135" s="67"/>
      <c r="F135" s="67"/>
      <c r="G135" s="67"/>
      <c r="H135" s="67"/>
      <c r="I135" s="67"/>
    </row>
    <row r="136" ht="13.5" customHeight="1">
      <c r="A136" s="67"/>
      <c r="B136" s="67"/>
      <c r="C136" s="67"/>
      <c r="D136" s="67"/>
      <c r="E136" s="67"/>
      <c r="F136" s="67"/>
      <c r="G136" s="67"/>
      <c r="H136" s="67"/>
      <c r="I136" s="67"/>
    </row>
    <row r="137" ht="13.5" customHeight="1">
      <c r="A137" s="67"/>
      <c r="B137" s="67"/>
      <c r="C137" s="67"/>
      <c r="D137" s="67"/>
      <c r="E137" s="67"/>
      <c r="F137" s="67"/>
      <c r="G137" s="67"/>
      <c r="H137" s="67"/>
      <c r="I137" s="67"/>
    </row>
    <row r="138" ht="13.5" customHeight="1">
      <c r="A138" s="67"/>
      <c r="B138" s="67"/>
      <c r="C138" s="67"/>
      <c r="D138" s="67"/>
      <c r="E138" s="67"/>
      <c r="F138" s="67"/>
      <c r="G138" s="67"/>
      <c r="H138" s="67"/>
      <c r="I138" s="67"/>
    </row>
    <row r="139" ht="13.5" customHeight="1">
      <c r="A139" s="67"/>
      <c r="B139" s="67"/>
      <c r="C139" s="67"/>
      <c r="D139" s="67"/>
      <c r="E139" s="67"/>
      <c r="F139" s="67"/>
      <c r="G139" s="67"/>
      <c r="H139" s="67"/>
      <c r="I139" s="67"/>
    </row>
    <row r="140" ht="13.5" customHeight="1">
      <c r="A140" s="67"/>
      <c r="B140" s="67"/>
      <c r="C140" s="67"/>
      <c r="D140" s="67"/>
      <c r="E140" s="67"/>
      <c r="F140" s="67"/>
      <c r="G140" s="67"/>
      <c r="H140" s="67"/>
      <c r="I140" s="67"/>
    </row>
    <row r="141" ht="13.5" customHeight="1">
      <c r="A141" s="67"/>
      <c r="B141" s="67"/>
      <c r="C141" s="67"/>
      <c r="D141" s="67"/>
      <c r="E141" s="67"/>
      <c r="F141" s="67"/>
      <c r="G141" s="67"/>
      <c r="H141" s="67"/>
      <c r="I141" s="67"/>
    </row>
    <row r="142" ht="13.5" customHeight="1">
      <c r="A142" s="67"/>
      <c r="B142" s="67"/>
      <c r="C142" s="67"/>
      <c r="D142" s="67"/>
      <c r="E142" s="67"/>
      <c r="F142" s="67"/>
      <c r="G142" s="67"/>
      <c r="H142" s="67"/>
      <c r="I142" s="67"/>
    </row>
    <row r="143" ht="13.5" customHeight="1">
      <c r="A143" s="67"/>
      <c r="B143" s="67"/>
      <c r="C143" s="67"/>
      <c r="D143" s="67"/>
      <c r="E143" s="67"/>
      <c r="F143" s="67"/>
      <c r="G143" s="67"/>
      <c r="H143" s="67"/>
      <c r="I143" s="67"/>
    </row>
    <row r="144" ht="13.5" customHeight="1">
      <c r="A144" s="67"/>
      <c r="B144" s="67"/>
      <c r="C144" s="67"/>
      <c r="D144" s="67"/>
      <c r="E144" s="67"/>
      <c r="F144" s="67"/>
      <c r="G144" s="67"/>
      <c r="H144" s="67"/>
      <c r="I144" s="67"/>
    </row>
    <row r="145" ht="13.5" customHeight="1">
      <c r="A145" s="67"/>
      <c r="B145" s="67"/>
      <c r="C145" s="67"/>
      <c r="D145" s="67"/>
      <c r="E145" s="67"/>
      <c r="F145" s="67"/>
      <c r="G145" s="67"/>
      <c r="H145" s="67"/>
      <c r="I145" s="67"/>
    </row>
    <row r="146" ht="13.5" customHeight="1">
      <c r="A146" s="67"/>
      <c r="B146" s="67"/>
      <c r="C146" s="67"/>
      <c r="D146" s="67"/>
      <c r="E146" s="67"/>
      <c r="F146" s="67"/>
      <c r="G146" s="67"/>
      <c r="H146" s="67"/>
      <c r="I146" s="67"/>
    </row>
    <row r="147" ht="13.5" customHeight="1">
      <c r="A147" s="67"/>
      <c r="B147" s="67"/>
      <c r="C147" s="67"/>
      <c r="D147" s="67"/>
      <c r="E147" s="67"/>
      <c r="F147" s="67"/>
      <c r="G147" s="67"/>
      <c r="H147" s="67"/>
      <c r="I147" s="67"/>
    </row>
    <row r="148" ht="13.5" customHeight="1">
      <c r="A148" s="67"/>
      <c r="B148" s="67"/>
      <c r="C148" s="67"/>
      <c r="D148" s="67"/>
      <c r="E148" s="67"/>
      <c r="F148" s="67"/>
      <c r="G148" s="67"/>
      <c r="H148" s="67"/>
      <c r="I148" s="67"/>
    </row>
    <row r="149" ht="13.5" customHeight="1">
      <c r="A149" s="67"/>
      <c r="B149" s="67"/>
      <c r="C149" s="67"/>
      <c r="D149" s="67"/>
      <c r="E149" s="67"/>
      <c r="F149" s="67"/>
      <c r="G149" s="67"/>
      <c r="H149" s="67"/>
      <c r="I149" s="67"/>
    </row>
    <row r="150" ht="13.5" customHeight="1">
      <c r="A150" s="67"/>
      <c r="B150" s="67"/>
      <c r="C150" s="67"/>
      <c r="D150" s="67"/>
      <c r="E150" s="67"/>
      <c r="F150" s="67"/>
      <c r="G150" s="67"/>
      <c r="H150" s="67"/>
      <c r="I150" s="67"/>
    </row>
    <row r="151" ht="13.5" customHeight="1">
      <c r="A151" s="67"/>
      <c r="B151" s="67"/>
      <c r="C151" s="67"/>
      <c r="D151" s="67"/>
      <c r="E151" s="67"/>
      <c r="F151" s="67"/>
      <c r="G151" s="67"/>
      <c r="H151" s="67"/>
      <c r="I151" s="67"/>
    </row>
    <row r="152" ht="13.5" customHeight="1">
      <c r="A152" s="67"/>
      <c r="B152" s="67"/>
      <c r="C152" s="67"/>
      <c r="D152" s="67"/>
      <c r="E152" s="67"/>
      <c r="F152" s="67"/>
      <c r="G152" s="67"/>
      <c r="H152" s="67"/>
      <c r="I152" s="67"/>
    </row>
    <row r="153" ht="13.5" customHeight="1">
      <c r="A153" s="67"/>
      <c r="B153" s="67"/>
      <c r="C153" s="67"/>
      <c r="D153" s="67"/>
      <c r="E153" s="67"/>
      <c r="F153" s="67"/>
      <c r="G153" s="67"/>
      <c r="H153" s="67"/>
      <c r="I153" s="67"/>
    </row>
    <row r="154" ht="13.5" customHeight="1">
      <c r="A154" s="67"/>
      <c r="B154" s="67"/>
      <c r="C154" s="67"/>
      <c r="D154" s="67"/>
      <c r="E154" s="67"/>
      <c r="F154" s="67"/>
      <c r="G154" s="67"/>
      <c r="H154" s="67"/>
      <c r="I154" s="67"/>
    </row>
    <row r="155" ht="13.5" customHeight="1">
      <c r="A155" s="67"/>
      <c r="B155" s="67"/>
      <c r="C155" s="67"/>
      <c r="D155" s="67"/>
      <c r="E155" s="67"/>
      <c r="F155" s="67"/>
      <c r="G155" s="67"/>
      <c r="H155" s="67"/>
      <c r="I155" s="67"/>
    </row>
    <row r="156" ht="13.5" customHeight="1">
      <c r="A156" s="67"/>
      <c r="B156" s="67"/>
      <c r="C156" s="67"/>
      <c r="D156" s="67"/>
      <c r="E156" s="67"/>
      <c r="F156" s="67"/>
      <c r="G156" s="67"/>
      <c r="H156" s="67"/>
      <c r="I156" s="67"/>
    </row>
    <row r="157" ht="13.5" customHeight="1">
      <c r="A157" s="67"/>
      <c r="B157" s="67"/>
      <c r="C157" s="67"/>
      <c r="D157" s="67"/>
      <c r="E157" s="67"/>
      <c r="F157" s="67"/>
      <c r="G157" s="67"/>
      <c r="H157" s="67"/>
      <c r="I157" s="67"/>
    </row>
    <row r="158" ht="13.5" customHeight="1">
      <c r="A158" s="67"/>
      <c r="B158" s="67"/>
      <c r="C158" s="67"/>
      <c r="D158" s="67"/>
      <c r="E158" s="67"/>
      <c r="F158" s="67"/>
      <c r="G158" s="67"/>
      <c r="H158" s="67"/>
      <c r="I158" s="67"/>
    </row>
    <row r="159" ht="13.5" customHeight="1">
      <c r="A159" s="67"/>
      <c r="B159" s="67"/>
      <c r="C159" s="67"/>
      <c r="D159" s="67"/>
      <c r="E159" s="67"/>
      <c r="F159" s="67"/>
      <c r="G159" s="67"/>
      <c r="H159" s="67"/>
      <c r="I159" s="67"/>
    </row>
    <row r="160" ht="13.5" customHeight="1">
      <c r="A160" s="67"/>
      <c r="B160" s="67"/>
      <c r="C160" s="67"/>
      <c r="D160" s="67"/>
      <c r="E160" s="67"/>
      <c r="F160" s="67"/>
      <c r="G160" s="67"/>
      <c r="H160" s="67"/>
      <c r="I160" s="67"/>
    </row>
    <row r="161" ht="13.5" customHeight="1">
      <c r="A161" s="67"/>
      <c r="B161" s="67"/>
      <c r="C161" s="67"/>
      <c r="D161" s="67"/>
      <c r="E161" s="67"/>
      <c r="F161" s="67"/>
      <c r="G161" s="67"/>
      <c r="H161" s="67"/>
      <c r="I161" s="67"/>
    </row>
    <row r="162" ht="13.5" customHeight="1">
      <c r="A162" s="67"/>
      <c r="B162" s="67"/>
      <c r="C162" s="67"/>
      <c r="D162" s="67"/>
      <c r="E162" s="67"/>
      <c r="F162" s="67"/>
      <c r="G162" s="67"/>
      <c r="H162" s="67"/>
      <c r="I162" s="67"/>
    </row>
    <row r="163" ht="13.5" customHeight="1">
      <c r="A163" s="67"/>
      <c r="B163" s="67"/>
      <c r="C163" s="67"/>
      <c r="D163" s="67"/>
      <c r="E163" s="67"/>
      <c r="F163" s="67"/>
      <c r="G163" s="67"/>
      <c r="H163" s="67"/>
      <c r="I163" s="67"/>
    </row>
    <row r="164" ht="13.5" customHeight="1">
      <c r="A164" s="67"/>
      <c r="B164" s="67"/>
      <c r="C164" s="67"/>
      <c r="D164" s="67"/>
      <c r="E164" s="67"/>
      <c r="F164" s="67"/>
      <c r="G164" s="67"/>
      <c r="H164" s="67"/>
      <c r="I164" s="67"/>
    </row>
    <row r="165" ht="13.5" customHeight="1">
      <c r="A165" s="67"/>
      <c r="B165" s="67"/>
      <c r="C165" s="67"/>
      <c r="D165" s="67"/>
      <c r="E165" s="67"/>
      <c r="F165" s="67"/>
      <c r="G165" s="67"/>
      <c r="H165" s="67"/>
      <c r="I165" s="67"/>
    </row>
    <row r="166" ht="13.5" customHeight="1">
      <c r="A166" s="67"/>
      <c r="B166" s="67"/>
      <c r="C166" s="67"/>
      <c r="D166" s="67"/>
      <c r="E166" s="67"/>
      <c r="F166" s="67"/>
      <c r="G166" s="67"/>
      <c r="H166" s="67"/>
      <c r="I166" s="67"/>
    </row>
    <row r="167" ht="13.5" customHeight="1">
      <c r="A167" s="67"/>
      <c r="B167" s="67"/>
      <c r="C167" s="67"/>
      <c r="D167" s="67"/>
      <c r="E167" s="67"/>
      <c r="F167" s="67"/>
      <c r="G167" s="67"/>
      <c r="H167" s="67"/>
      <c r="I167" s="67"/>
    </row>
    <row r="168" ht="13.5" customHeight="1">
      <c r="A168" s="67"/>
      <c r="B168" s="67"/>
      <c r="C168" s="67"/>
      <c r="D168" s="67"/>
      <c r="E168" s="67"/>
      <c r="F168" s="67"/>
      <c r="G168" s="67"/>
      <c r="H168" s="67"/>
      <c r="I168" s="67"/>
    </row>
    <row r="169" ht="13.5" customHeight="1">
      <c r="A169" s="67"/>
      <c r="B169" s="67"/>
      <c r="C169" s="67"/>
      <c r="D169" s="67"/>
      <c r="E169" s="67"/>
      <c r="F169" s="67"/>
      <c r="G169" s="67"/>
      <c r="H169" s="67"/>
      <c r="I169" s="67"/>
    </row>
    <row r="170" ht="13.5" customHeight="1">
      <c r="A170" s="67"/>
      <c r="B170" s="67"/>
      <c r="C170" s="67"/>
      <c r="D170" s="67"/>
      <c r="E170" s="67"/>
      <c r="F170" s="67"/>
      <c r="G170" s="67"/>
      <c r="H170" s="67"/>
      <c r="I170" s="67"/>
    </row>
    <row r="171" ht="13.5" customHeight="1">
      <c r="A171" s="67"/>
      <c r="B171" s="67"/>
      <c r="C171" s="67"/>
      <c r="D171" s="67"/>
      <c r="E171" s="67"/>
      <c r="F171" s="67"/>
      <c r="G171" s="67"/>
      <c r="H171" s="67"/>
      <c r="I171" s="67"/>
    </row>
    <row r="172" ht="13.5" customHeight="1">
      <c r="A172" s="67"/>
      <c r="B172" s="67"/>
      <c r="C172" s="67"/>
      <c r="D172" s="67"/>
      <c r="E172" s="67"/>
      <c r="F172" s="67"/>
      <c r="G172" s="67"/>
      <c r="H172" s="67"/>
      <c r="I172" s="67"/>
    </row>
    <row r="173" ht="13.5" customHeight="1">
      <c r="A173" s="67"/>
      <c r="B173" s="67"/>
      <c r="C173" s="67"/>
      <c r="D173" s="67"/>
      <c r="E173" s="67"/>
      <c r="F173" s="67"/>
      <c r="G173" s="67"/>
      <c r="H173" s="67"/>
      <c r="I173" s="67"/>
    </row>
    <row r="174" ht="13.5" customHeight="1">
      <c r="A174" s="67"/>
      <c r="B174" s="67"/>
      <c r="C174" s="67"/>
      <c r="D174" s="67"/>
      <c r="E174" s="67"/>
      <c r="F174" s="67"/>
      <c r="G174" s="67"/>
      <c r="H174" s="67"/>
      <c r="I174" s="67"/>
    </row>
    <row r="175" ht="13.5" customHeight="1">
      <c r="A175" s="67"/>
      <c r="B175" s="67"/>
      <c r="C175" s="67"/>
      <c r="D175" s="67"/>
      <c r="E175" s="67"/>
      <c r="F175" s="67"/>
      <c r="G175" s="67"/>
      <c r="H175" s="67"/>
      <c r="I175" s="67"/>
    </row>
    <row r="176" ht="13.5" customHeight="1">
      <c r="A176" s="67"/>
      <c r="B176" s="67"/>
      <c r="C176" s="67"/>
      <c r="D176" s="67"/>
      <c r="E176" s="67"/>
      <c r="F176" s="67"/>
      <c r="G176" s="67"/>
      <c r="H176" s="67"/>
      <c r="I176" s="67"/>
    </row>
    <row r="177" ht="13.5" customHeight="1">
      <c r="A177" s="67"/>
      <c r="B177" s="67"/>
      <c r="C177" s="67"/>
      <c r="D177" s="67"/>
      <c r="E177" s="67"/>
      <c r="F177" s="67"/>
      <c r="G177" s="67"/>
      <c r="H177" s="67"/>
      <c r="I177" s="67"/>
    </row>
    <row r="178" ht="13.5" customHeight="1">
      <c r="A178" s="67"/>
      <c r="B178" s="67"/>
      <c r="C178" s="67"/>
      <c r="D178" s="67"/>
      <c r="E178" s="67"/>
      <c r="F178" s="67"/>
      <c r="G178" s="67"/>
      <c r="H178" s="67"/>
      <c r="I178" s="67"/>
    </row>
    <row r="179" ht="13.5" customHeight="1">
      <c r="A179" s="67"/>
      <c r="B179" s="67"/>
      <c r="C179" s="67"/>
      <c r="D179" s="67"/>
      <c r="E179" s="67"/>
      <c r="F179" s="67"/>
      <c r="G179" s="67"/>
      <c r="H179" s="67"/>
      <c r="I179" s="67"/>
    </row>
    <row r="180" ht="13.5" customHeight="1">
      <c r="A180" s="67"/>
      <c r="B180" s="67"/>
      <c r="C180" s="67"/>
      <c r="D180" s="67"/>
      <c r="E180" s="67"/>
      <c r="F180" s="67"/>
      <c r="G180" s="67"/>
      <c r="H180" s="67"/>
      <c r="I180" s="67"/>
    </row>
    <row r="181" ht="13.5" customHeight="1">
      <c r="A181" s="67"/>
      <c r="B181" s="67"/>
      <c r="C181" s="67"/>
      <c r="D181" s="67"/>
      <c r="E181" s="67"/>
      <c r="F181" s="67"/>
      <c r="G181" s="67"/>
      <c r="H181" s="67"/>
      <c r="I181" s="67"/>
    </row>
    <row r="182" ht="13.5" customHeight="1">
      <c r="A182" s="67"/>
      <c r="B182" s="67"/>
      <c r="C182" s="67"/>
      <c r="D182" s="67"/>
      <c r="E182" s="67"/>
      <c r="F182" s="67"/>
      <c r="G182" s="67"/>
      <c r="H182" s="67"/>
      <c r="I182" s="67"/>
    </row>
    <row r="183" ht="13.5" customHeight="1">
      <c r="A183" s="67"/>
      <c r="B183" s="67"/>
      <c r="C183" s="67"/>
      <c r="D183" s="67"/>
      <c r="E183" s="67"/>
      <c r="F183" s="67"/>
      <c r="G183" s="67"/>
      <c r="H183" s="67"/>
      <c r="I183" s="67"/>
    </row>
    <row r="184" ht="13.5" customHeight="1">
      <c r="A184" s="67"/>
      <c r="B184" s="67"/>
      <c r="C184" s="67"/>
      <c r="D184" s="67"/>
      <c r="E184" s="67"/>
      <c r="F184" s="67"/>
      <c r="G184" s="67"/>
      <c r="H184" s="67"/>
      <c r="I184" s="67"/>
    </row>
    <row r="185" ht="13.5" customHeight="1">
      <c r="A185" s="67"/>
      <c r="B185" s="67"/>
      <c r="C185" s="67"/>
      <c r="D185" s="67"/>
      <c r="E185" s="67"/>
      <c r="F185" s="67"/>
      <c r="G185" s="67"/>
      <c r="H185" s="67"/>
      <c r="I185" s="67"/>
    </row>
    <row r="186" ht="13.5" customHeight="1">
      <c r="A186" s="67"/>
      <c r="B186" s="67"/>
      <c r="C186" s="67"/>
      <c r="D186" s="67"/>
      <c r="E186" s="67"/>
      <c r="F186" s="67"/>
      <c r="G186" s="67"/>
      <c r="H186" s="67"/>
      <c r="I186" s="67"/>
    </row>
    <row r="187" ht="13.5" customHeight="1">
      <c r="A187" s="67"/>
      <c r="B187" s="67"/>
      <c r="C187" s="67"/>
      <c r="D187" s="67"/>
      <c r="E187" s="67"/>
      <c r="F187" s="67"/>
      <c r="G187" s="67"/>
      <c r="H187" s="67"/>
      <c r="I187" s="67"/>
    </row>
    <row r="188" ht="13.5" customHeight="1">
      <c r="A188" s="67"/>
      <c r="B188" s="67"/>
      <c r="C188" s="67"/>
      <c r="D188" s="67"/>
      <c r="E188" s="67"/>
      <c r="F188" s="67"/>
      <c r="G188" s="67"/>
      <c r="H188" s="67"/>
      <c r="I188" s="67"/>
    </row>
    <row r="189" ht="13.5" customHeight="1">
      <c r="A189" s="67"/>
      <c r="B189" s="67"/>
      <c r="C189" s="67"/>
      <c r="D189" s="67"/>
      <c r="E189" s="67"/>
      <c r="F189" s="67"/>
      <c r="G189" s="67"/>
      <c r="H189" s="67"/>
      <c r="I189" s="67"/>
    </row>
    <row r="190" ht="13.5" customHeight="1">
      <c r="A190" s="67"/>
      <c r="B190" s="67"/>
      <c r="C190" s="67"/>
      <c r="D190" s="67"/>
      <c r="E190" s="67"/>
      <c r="F190" s="67"/>
      <c r="G190" s="67"/>
      <c r="H190" s="67"/>
      <c r="I190" s="67"/>
    </row>
    <row r="191" ht="13.5" customHeight="1">
      <c r="A191" s="67"/>
      <c r="B191" s="67"/>
      <c r="C191" s="67"/>
      <c r="D191" s="67"/>
      <c r="E191" s="67"/>
      <c r="F191" s="67"/>
      <c r="G191" s="67"/>
      <c r="H191" s="67"/>
      <c r="I191" s="67"/>
    </row>
    <row r="192" ht="13.5" customHeight="1">
      <c r="A192" s="67"/>
      <c r="B192" s="67"/>
      <c r="C192" s="67"/>
      <c r="D192" s="67"/>
      <c r="E192" s="67"/>
      <c r="F192" s="67"/>
      <c r="G192" s="67"/>
      <c r="H192" s="67"/>
      <c r="I192" s="67"/>
    </row>
    <row r="193" ht="13.5" customHeight="1">
      <c r="A193" s="67"/>
      <c r="B193" s="67"/>
      <c r="C193" s="67"/>
      <c r="D193" s="67"/>
      <c r="E193" s="67"/>
      <c r="F193" s="67"/>
      <c r="G193" s="67"/>
      <c r="H193" s="67"/>
      <c r="I193" s="67"/>
    </row>
    <row r="194" ht="13.5" customHeight="1">
      <c r="A194" s="67"/>
      <c r="B194" s="67"/>
      <c r="C194" s="67"/>
      <c r="D194" s="67"/>
      <c r="E194" s="67"/>
      <c r="F194" s="67"/>
      <c r="G194" s="67"/>
      <c r="H194" s="67"/>
      <c r="I194" s="67"/>
    </row>
    <row r="195" ht="13.5" customHeight="1">
      <c r="A195" s="67"/>
      <c r="B195" s="67"/>
      <c r="C195" s="67"/>
      <c r="D195" s="67"/>
      <c r="E195" s="67"/>
      <c r="F195" s="67"/>
      <c r="G195" s="67"/>
      <c r="H195" s="67"/>
      <c r="I195" s="67"/>
    </row>
    <row r="196" ht="13.5" customHeight="1">
      <c r="A196" s="67"/>
      <c r="B196" s="67"/>
      <c r="C196" s="67"/>
      <c r="D196" s="67"/>
      <c r="E196" s="67"/>
      <c r="F196" s="67"/>
      <c r="G196" s="67"/>
      <c r="H196" s="67"/>
      <c r="I196" s="67"/>
    </row>
    <row r="197" ht="13.5" customHeight="1">
      <c r="A197" s="67"/>
      <c r="B197" s="67"/>
      <c r="C197" s="67"/>
      <c r="D197" s="67"/>
      <c r="E197" s="67"/>
      <c r="F197" s="67"/>
      <c r="G197" s="67"/>
      <c r="H197" s="67"/>
      <c r="I197" s="67"/>
    </row>
    <row r="198" ht="13.5" customHeight="1">
      <c r="A198" s="67"/>
      <c r="B198" s="67"/>
      <c r="C198" s="67"/>
      <c r="D198" s="67"/>
      <c r="E198" s="67"/>
      <c r="F198" s="67"/>
      <c r="G198" s="67"/>
      <c r="H198" s="67"/>
      <c r="I198" s="67"/>
    </row>
    <row r="199" ht="13.5" customHeight="1">
      <c r="A199" s="67"/>
      <c r="B199" s="67"/>
      <c r="C199" s="67"/>
      <c r="D199" s="67"/>
      <c r="E199" s="67"/>
      <c r="F199" s="67"/>
      <c r="G199" s="67"/>
      <c r="H199" s="67"/>
      <c r="I199" s="67"/>
    </row>
    <row r="200" ht="13.5" customHeight="1">
      <c r="A200" s="67"/>
      <c r="B200" s="67"/>
      <c r="C200" s="67"/>
      <c r="D200" s="67"/>
      <c r="E200" s="67"/>
      <c r="F200" s="67"/>
      <c r="G200" s="67"/>
      <c r="H200" s="67"/>
      <c r="I200" s="67"/>
    </row>
    <row r="201" ht="13.5" customHeight="1">
      <c r="A201" s="67"/>
      <c r="B201" s="67"/>
      <c r="C201" s="67"/>
      <c r="D201" s="67"/>
      <c r="E201" s="67"/>
      <c r="F201" s="67"/>
      <c r="G201" s="67"/>
      <c r="H201" s="67"/>
      <c r="I201" s="67"/>
    </row>
    <row r="202" ht="13.5" customHeight="1">
      <c r="A202" s="67"/>
      <c r="B202" s="67"/>
      <c r="C202" s="67"/>
      <c r="D202" s="67"/>
      <c r="E202" s="67"/>
      <c r="F202" s="67"/>
      <c r="G202" s="67"/>
      <c r="H202" s="67"/>
      <c r="I202" s="67"/>
    </row>
    <row r="203" ht="13.5" customHeight="1">
      <c r="A203" s="67"/>
      <c r="B203" s="67"/>
      <c r="C203" s="67"/>
      <c r="D203" s="67"/>
      <c r="E203" s="67"/>
      <c r="F203" s="67"/>
      <c r="G203" s="67"/>
      <c r="H203" s="67"/>
      <c r="I203" s="67"/>
    </row>
    <row r="204" ht="13.5" customHeight="1">
      <c r="A204" s="67"/>
      <c r="B204" s="67"/>
      <c r="C204" s="67"/>
      <c r="D204" s="67"/>
      <c r="E204" s="67"/>
      <c r="F204" s="67"/>
      <c r="G204" s="67"/>
      <c r="H204" s="67"/>
      <c r="I204" s="67"/>
    </row>
    <row r="205" ht="13.5" customHeight="1">
      <c r="A205" s="67"/>
      <c r="B205" s="67"/>
      <c r="C205" s="67"/>
      <c r="D205" s="67"/>
      <c r="E205" s="67"/>
      <c r="F205" s="67"/>
      <c r="G205" s="67"/>
      <c r="H205" s="67"/>
      <c r="I205" s="67"/>
    </row>
    <row r="206" ht="13.5" customHeight="1">
      <c r="A206" s="67"/>
      <c r="B206" s="67"/>
      <c r="C206" s="67"/>
      <c r="D206" s="67"/>
      <c r="E206" s="67"/>
      <c r="F206" s="67"/>
      <c r="G206" s="67"/>
      <c r="H206" s="67"/>
      <c r="I206" s="67"/>
    </row>
    <row r="207" ht="13.5" customHeight="1">
      <c r="A207" s="67"/>
      <c r="B207" s="67"/>
      <c r="C207" s="67"/>
      <c r="D207" s="67"/>
      <c r="E207" s="67"/>
      <c r="F207" s="67"/>
      <c r="G207" s="67"/>
      <c r="H207" s="67"/>
      <c r="I207" s="67"/>
    </row>
    <row r="208" ht="13.5" customHeight="1">
      <c r="A208" s="67"/>
      <c r="B208" s="67"/>
      <c r="C208" s="67"/>
      <c r="D208" s="67"/>
      <c r="E208" s="67"/>
      <c r="F208" s="67"/>
      <c r="G208" s="67"/>
      <c r="H208" s="67"/>
      <c r="I208" s="67"/>
    </row>
    <row r="209" ht="13.5" customHeight="1">
      <c r="A209" s="67"/>
      <c r="B209" s="67"/>
      <c r="C209" s="67"/>
      <c r="D209" s="67"/>
      <c r="E209" s="67"/>
      <c r="F209" s="67"/>
      <c r="G209" s="67"/>
      <c r="H209" s="67"/>
      <c r="I209" s="67"/>
    </row>
    <row r="210" ht="13.5" customHeight="1">
      <c r="A210" s="67"/>
      <c r="B210" s="67"/>
      <c r="C210" s="67"/>
      <c r="D210" s="67"/>
      <c r="E210" s="67"/>
      <c r="F210" s="67"/>
      <c r="G210" s="67"/>
      <c r="H210" s="67"/>
      <c r="I210" s="67"/>
    </row>
    <row r="211" ht="13.5" customHeight="1">
      <c r="A211" s="67"/>
      <c r="B211" s="67"/>
      <c r="C211" s="67"/>
      <c r="D211" s="67"/>
      <c r="E211" s="67"/>
      <c r="F211" s="67"/>
      <c r="G211" s="67"/>
      <c r="H211" s="67"/>
      <c r="I211" s="67"/>
    </row>
    <row r="212" ht="13.5" customHeight="1">
      <c r="A212" s="67"/>
      <c r="B212" s="67"/>
      <c r="C212" s="67"/>
      <c r="D212" s="67"/>
      <c r="E212" s="67"/>
      <c r="F212" s="67"/>
      <c r="G212" s="67"/>
      <c r="H212" s="67"/>
      <c r="I212" s="67"/>
    </row>
    <row r="213" ht="13.5" customHeight="1">
      <c r="A213" s="67"/>
      <c r="B213" s="67"/>
      <c r="C213" s="67"/>
      <c r="D213" s="67"/>
      <c r="E213" s="67"/>
      <c r="F213" s="67"/>
      <c r="G213" s="67"/>
      <c r="H213" s="67"/>
      <c r="I213" s="67"/>
    </row>
    <row r="214" ht="13.5" customHeight="1">
      <c r="A214" s="67"/>
      <c r="B214" s="67"/>
      <c r="C214" s="67"/>
      <c r="D214" s="67"/>
      <c r="E214" s="67"/>
      <c r="F214" s="67"/>
      <c r="G214" s="67"/>
      <c r="H214" s="67"/>
      <c r="I214" s="67"/>
    </row>
    <row r="215" ht="13.5" customHeight="1">
      <c r="A215" s="67"/>
      <c r="B215" s="67"/>
      <c r="C215" s="67"/>
      <c r="D215" s="67"/>
      <c r="E215" s="67"/>
      <c r="F215" s="67"/>
      <c r="G215" s="67"/>
      <c r="H215" s="67"/>
      <c r="I215" s="67"/>
    </row>
    <row r="216" ht="13.5" customHeight="1">
      <c r="A216" s="67"/>
      <c r="B216" s="67"/>
      <c r="C216" s="67"/>
      <c r="D216" s="67"/>
      <c r="E216" s="67"/>
      <c r="F216" s="67"/>
      <c r="G216" s="67"/>
      <c r="H216" s="67"/>
      <c r="I216" s="67"/>
    </row>
    <row r="217" ht="13.5" customHeight="1">
      <c r="A217" s="67"/>
      <c r="B217" s="67"/>
      <c r="C217" s="67"/>
      <c r="D217" s="67"/>
      <c r="E217" s="67"/>
      <c r="F217" s="67"/>
      <c r="G217" s="67"/>
      <c r="H217" s="67"/>
      <c r="I217" s="67"/>
    </row>
    <row r="218" ht="13.5" customHeight="1">
      <c r="A218" s="67"/>
      <c r="B218" s="67"/>
      <c r="C218" s="67"/>
      <c r="D218" s="67"/>
      <c r="E218" s="67"/>
      <c r="F218" s="67"/>
      <c r="G218" s="67"/>
      <c r="H218" s="67"/>
      <c r="I218" s="67"/>
    </row>
    <row r="219" ht="13.5" customHeight="1">
      <c r="A219" s="67"/>
      <c r="B219" s="67"/>
      <c r="C219" s="67"/>
      <c r="D219" s="67"/>
      <c r="E219" s="67"/>
      <c r="F219" s="67"/>
      <c r="G219" s="67"/>
      <c r="H219" s="67"/>
      <c r="I219" s="67"/>
    </row>
    <row r="220" ht="13.5" customHeight="1">
      <c r="A220" s="67"/>
      <c r="B220" s="67"/>
      <c r="C220" s="67"/>
      <c r="D220" s="67"/>
      <c r="E220" s="67"/>
      <c r="F220" s="67"/>
      <c r="G220" s="67"/>
      <c r="H220" s="67"/>
      <c r="I220" s="67"/>
    </row>
    <row r="221" ht="13.5" customHeight="1">
      <c r="A221" s="67"/>
      <c r="B221" s="67"/>
      <c r="C221" s="67"/>
      <c r="D221" s="67"/>
      <c r="E221" s="67"/>
      <c r="F221" s="67"/>
      <c r="G221" s="67"/>
      <c r="H221" s="67"/>
      <c r="I221" s="67"/>
    </row>
    <row r="222" ht="13.5" customHeight="1">
      <c r="A222" s="67"/>
      <c r="B222" s="67"/>
      <c r="C222" s="67"/>
      <c r="D222" s="67"/>
      <c r="E222" s="67"/>
      <c r="F222" s="67"/>
      <c r="G222" s="67"/>
      <c r="H222" s="67"/>
      <c r="I222" s="67"/>
    </row>
    <row r="223" ht="13.5" customHeight="1">
      <c r="A223" s="67"/>
      <c r="B223" s="67"/>
      <c r="C223" s="67"/>
      <c r="D223" s="67"/>
      <c r="E223" s="67"/>
      <c r="F223" s="67"/>
      <c r="G223" s="67"/>
      <c r="H223" s="67"/>
      <c r="I223" s="67"/>
    </row>
    <row r="224" ht="13.5" customHeight="1">
      <c r="A224" s="67"/>
      <c r="B224" s="67"/>
      <c r="C224" s="67"/>
      <c r="D224" s="67"/>
      <c r="E224" s="67"/>
      <c r="F224" s="67"/>
      <c r="G224" s="67"/>
      <c r="H224" s="67"/>
      <c r="I224" s="67"/>
    </row>
    <row r="225" ht="13.5" customHeight="1">
      <c r="A225" s="67"/>
      <c r="B225" s="67"/>
      <c r="C225" s="67"/>
      <c r="D225" s="67"/>
      <c r="E225" s="67"/>
      <c r="F225" s="67"/>
      <c r="G225" s="67"/>
      <c r="H225" s="67"/>
      <c r="I225" s="67"/>
    </row>
    <row r="226" ht="13.5" customHeight="1">
      <c r="A226" s="67"/>
      <c r="B226" s="67"/>
      <c r="C226" s="67"/>
      <c r="D226" s="67"/>
      <c r="E226" s="67"/>
      <c r="F226" s="67"/>
      <c r="G226" s="67"/>
      <c r="H226" s="67"/>
      <c r="I226" s="67"/>
    </row>
    <row r="227" ht="13.5" customHeight="1">
      <c r="A227" s="67"/>
      <c r="B227" s="67"/>
      <c r="C227" s="67"/>
      <c r="D227" s="67"/>
      <c r="E227" s="67"/>
      <c r="F227" s="67"/>
      <c r="G227" s="67"/>
      <c r="H227" s="67"/>
      <c r="I227" s="67"/>
    </row>
    <row r="228" ht="13.5" customHeight="1">
      <c r="A228" s="67"/>
      <c r="B228" s="67"/>
      <c r="C228" s="67"/>
      <c r="D228" s="67"/>
      <c r="E228" s="67"/>
      <c r="F228" s="67"/>
      <c r="G228" s="67"/>
      <c r="H228" s="67"/>
      <c r="I228" s="67"/>
    </row>
    <row r="229" ht="13.5" customHeight="1">
      <c r="A229" s="67"/>
      <c r="B229" s="67"/>
      <c r="C229" s="67"/>
      <c r="D229" s="67"/>
      <c r="E229" s="67"/>
      <c r="F229" s="67"/>
      <c r="G229" s="67"/>
      <c r="H229" s="67"/>
      <c r="I229" s="67"/>
    </row>
    <row r="230" ht="13.5" customHeight="1">
      <c r="A230" s="67"/>
      <c r="B230" s="67"/>
      <c r="C230" s="67"/>
      <c r="D230" s="67"/>
      <c r="E230" s="67"/>
      <c r="F230" s="67"/>
      <c r="G230" s="67"/>
      <c r="H230" s="67"/>
      <c r="I230" s="67"/>
    </row>
    <row r="231" ht="13.5" customHeight="1">
      <c r="A231" s="67"/>
      <c r="B231" s="67"/>
      <c r="C231" s="67"/>
      <c r="D231" s="67"/>
      <c r="E231" s="67"/>
      <c r="F231" s="67"/>
      <c r="G231" s="67"/>
      <c r="H231" s="67"/>
      <c r="I231" s="67"/>
    </row>
    <row r="232" ht="13.5" customHeight="1">
      <c r="A232" s="67"/>
      <c r="B232" s="67"/>
      <c r="C232" s="67"/>
      <c r="D232" s="67"/>
      <c r="E232" s="67"/>
      <c r="F232" s="67"/>
      <c r="G232" s="67"/>
      <c r="H232" s="67"/>
      <c r="I232" s="67"/>
    </row>
    <row r="233" ht="13.5" customHeight="1">
      <c r="A233" s="67"/>
      <c r="B233" s="67"/>
      <c r="C233" s="67"/>
      <c r="D233" s="67"/>
      <c r="E233" s="67"/>
      <c r="F233" s="67"/>
      <c r="G233" s="67"/>
      <c r="H233" s="67"/>
      <c r="I233" s="67"/>
    </row>
    <row r="234" ht="13.5" customHeight="1">
      <c r="A234" s="67"/>
      <c r="B234" s="67"/>
      <c r="C234" s="67"/>
      <c r="D234" s="67"/>
      <c r="E234" s="67"/>
      <c r="F234" s="67"/>
      <c r="G234" s="67"/>
      <c r="H234" s="67"/>
      <c r="I234" s="67"/>
    </row>
    <row r="235" ht="13.5" customHeight="1">
      <c r="A235" s="67"/>
      <c r="B235" s="67"/>
      <c r="C235" s="67"/>
      <c r="D235" s="67"/>
      <c r="E235" s="67"/>
      <c r="F235" s="67"/>
      <c r="G235" s="67"/>
      <c r="H235" s="67"/>
      <c r="I235" s="67"/>
    </row>
    <row r="236" ht="13.5" customHeight="1">
      <c r="A236" s="67"/>
      <c r="B236" s="67"/>
      <c r="C236" s="67"/>
      <c r="D236" s="67"/>
      <c r="E236" s="67"/>
      <c r="F236" s="67"/>
      <c r="G236" s="67"/>
      <c r="H236" s="67"/>
      <c r="I236" s="67"/>
    </row>
    <row r="237" ht="13.5" customHeight="1">
      <c r="A237" s="67"/>
      <c r="B237" s="67"/>
      <c r="C237" s="67"/>
      <c r="D237" s="67"/>
      <c r="E237" s="67"/>
      <c r="F237" s="67"/>
      <c r="G237" s="67"/>
      <c r="H237" s="67"/>
      <c r="I237" s="67"/>
    </row>
    <row r="238" ht="13.5" customHeight="1">
      <c r="A238" s="67"/>
      <c r="B238" s="67"/>
      <c r="C238" s="67"/>
      <c r="D238" s="67"/>
      <c r="E238" s="67"/>
      <c r="F238" s="67"/>
      <c r="G238" s="67"/>
      <c r="H238" s="67"/>
      <c r="I238" s="67"/>
    </row>
    <row r="239" ht="13.5" customHeight="1">
      <c r="A239" s="67"/>
      <c r="B239" s="67"/>
      <c r="C239" s="67"/>
      <c r="D239" s="67"/>
      <c r="E239" s="67"/>
      <c r="F239" s="67"/>
      <c r="G239" s="67"/>
      <c r="H239" s="67"/>
      <c r="I239" s="67"/>
    </row>
    <row r="240" ht="13.5" customHeight="1">
      <c r="A240" s="67"/>
      <c r="B240" s="67"/>
      <c r="C240" s="67"/>
      <c r="D240" s="67"/>
      <c r="E240" s="67"/>
      <c r="F240" s="67"/>
      <c r="G240" s="67"/>
      <c r="H240" s="67"/>
      <c r="I240" s="67"/>
    </row>
    <row r="241" ht="13.5" customHeight="1">
      <c r="A241" s="67"/>
      <c r="B241" s="67"/>
      <c r="C241" s="67"/>
      <c r="D241" s="67"/>
      <c r="E241" s="67"/>
      <c r="F241" s="67"/>
      <c r="G241" s="67"/>
      <c r="H241" s="67"/>
      <c r="I241" s="67"/>
    </row>
    <row r="242" ht="13.5" customHeight="1">
      <c r="A242" s="67"/>
      <c r="B242" s="67"/>
      <c r="C242" s="67"/>
      <c r="D242" s="67"/>
      <c r="E242" s="67"/>
      <c r="F242" s="67"/>
      <c r="G242" s="67"/>
      <c r="H242" s="67"/>
      <c r="I242" s="67"/>
    </row>
    <row r="243" ht="13.5" customHeight="1">
      <c r="A243" s="67"/>
      <c r="B243" s="67"/>
      <c r="C243" s="67"/>
      <c r="D243" s="67"/>
      <c r="E243" s="67"/>
      <c r="F243" s="67"/>
      <c r="G243" s="67"/>
      <c r="H243" s="67"/>
      <c r="I243" s="67"/>
    </row>
    <row r="244" ht="13.5" customHeight="1">
      <c r="A244" s="67"/>
      <c r="B244" s="67"/>
      <c r="C244" s="67"/>
      <c r="D244" s="67"/>
      <c r="E244" s="67"/>
      <c r="F244" s="67"/>
      <c r="G244" s="67"/>
      <c r="H244" s="67"/>
      <c r="I244" s="67"/>
    </row>
    <row r="245" ht="13.5" customHeight="1">
      <c r="A245" s="67"/>
      <c r="B245" s="67"/>
      <c r="C245" s="67"/>
      <c r="D245" s="67"/>
      <c r="E245" s="67"/>
      <c r="F245" s="67"/>
      <c r="G245" s="67"/>
      <c r="H245" s="67"/>
      <c r="I245" s="67"/>
    </row>
    <row r="246" ht="13.5" customHeight="1">
      <c r="A246" s="67"/>
      <c r="B246" s="67"/>
      <c r="C246" s="67"/>
      <c r="D246" s="67"/>
      <c r="E246" s="67"/>
      <c r="F246" s="67"/>
      <c r="G246" s="67"/>
      <c r="H246" s="67"/>
      <c r="I246" s="67"/>
    </row>
    <row r="247" ht="13.5" customHeight="1">
      <c r="A247" s="67"/>
      <c r="B247" s="67"/>
      <c r="C247" s="67"/>
      <c r="D247" s="67"/>
      <c r="E247" s="67"/>
      <c r="F247" s="67"/>
      <c r="G247" s="67"/>
      <c r="H247" s="67"/>
      <c r="I247" s="67"/>
    </row>
    <row r="248" ht="13.5" customHeight="1">
      <c r="A248" s="67"/>
      <c r="B248" s="67"/>
      <c r="C248" s="67"/>
      <c r="D248" s="67"/>
      <c r="E248" s="67"/>
      <c r="F248" s="67"/>
      <c r="G248" s="67"/>
      <c r="H248" s="67"/>
      <c r="I248" s="67"/>
    </row>
    <row r="249" ht="13.5" customHeight="1">
      <c r="A249" s="67"/>
      <c r="B249" s="67"/>
      <c r="C249" s="67"/>
      <c r="D249" s="67"/>
      <c r="E249" s="67"/>
      <c r="F249" s="67"/>
      <c r="G249" s="67"/>
      <c r="H249" s="67"/>
      <c r="I249" s="67"/>
    </row>
    <row r="250" ht="13.5" customHeight="1">
      <c r="A250" s="67"/>
      <c r="B250" s="67"/>
      <c r="C250" s="67"/>
      <c r="D250" s="67"/>
      <c r="E250" s="67"/>
      <c r="F250" s="67"/>
      <c r="G250" s="67"/>
      <c r="H250" s="67"/>
      <c r="I250" s="67"/>
    </row>
    <row r="251" ht="13.5" customHeight="1">
      <c r="A251" s="67"/>
      <c r="B251" s="67"/>
      <c r="C251" s="67"/>
      <c r="D251" s="67"/>
      <c r="E251" s="67"/>
      <c r="F251" s="67"/>
      <c r="G251" s="67"/>
      <c r="H251" s="67"/>
      <c r="I251" s="67"/>
    </row>
    <row r="252" ht="13.5" customHeight="1">
      <c r="A252" s="67"/>
      <c r="B252" s="67"/>
      <c r="C252" s="67"/>
      <c r="D252" s="67"/>
      <c r="E252" s="67"/>
      <c r="F252" s="67"/>
      <c r="G252" s="67"/>
      <c r="H252" s="67"/>
      <c r="I252" s="67"/>
    </row>
    <row r="253" ht="13.5" customHeight="1">
      <c r="A253" s="67"/>
      <c r="B253" s="67"/>
      <c r="C253" s="67"/>
      <c r="D253" s="67"/>
      <c r="E253" s="67"/>
      <c r="F253" s="67"/>
      <c r="G253" s="67"/>
      <c r="H253" s="67"/>
      <c r="I253" s="67"/>
    </row>
    <row r="254" ht="13.5" customHeight="1">
      <c r="A254" s="67"/>
      <c r="B254" s="67"/>
      <c r="C254" s="67"/>
      <c r="D254" s="67"/>
      <c r="E254" s="67"/>
      <c r="F254" s="67"/>
      <c r="G254" s="67"/>
      <c r="H254" s="67"/>
      <c r="I254" s="67"/>
    </row>
    <row r="255" ht="13.5" customHeight="1">
      <c r="A255" s="67"/>
      <c r="B255" s="67"/>
      <c r="C255" s="67"/>
      <c r="D255" s="67"/>
      <c r="E255" s="67"/>
      <c r="F255" s="67"/>
      <c r="G255" s="67"/>
      <c r="H255" s="67"/>
      <c r="I255" s="67"/>
    </row>
    <row r="256" ht="13.5" customHeight="1">
      <c r="A256" s="67"/>
      <c r="B256" s="67"/>
      <c r="C256" s="67"/>
      <c r="D256" s="67"/>
      <c r="E256" s="67"/>
      <c r="F256" s="67"/>
      <c r="G256" s="67"/>
      <c r="H256" s="67"/>
      <c r="I256" s="67"/>
    </row>
    <row r="257" ht="13.5" customHeight="1">
      <c r="A257" s="67"/>
      <c r="B257" s="67"/>
      <c r="C257" s="67"/>
      <c r="D257" s="67"/>
      <c r="E257" s="67"/>
      <c r="F257" s="67"/>
      <c r="G257" s="67"/>
      <c r="H257" s="67"/>
      <c r="I257" s="67"/>
    </row>
    <row r="258" ht="13.5" customHeight="1">
      <c r="A258" s="67"/>
      <c r="B258" s="67"/>
      <c r="C258" s="67"/>
      <c r="D258" s="67"/>
      <c r="E258" s="67"/>
      <c r="F258" s="67"/>
      <c r="G258" s="67"/>
      <c r="H258" s="67"/>
      <c r="I258" s="67"/>
    </row>
    <row r="259" ht="13.5" customHeight="1">
      <c r="A259" s="67"/>
      <c r="B259" s="67"/>
      <c r="C259" s="67"/>
      <c r="D259" s="67"/>
      <c r="E259" s="67"/>
      <c r="F259" s="67"/>
      <c r="G259" s="67"/>
      <c r="H259" s="67"/>
      <c r="I259" s="67"/>
    </row>
    <row r="260" ht="13.5" customHeight="1">
      <c r="A260" s="67"/>
      <c r="B260" s="67"/>
      <c r="C260" s="67"/>
      <c r="D260" s="67"/>
      <c r="E260" s="67"/>
      <c r="F260" s="67"/>
      <c r="G260" s="67"/>
      <c r="H260" s="67"/>
      <c r="I260" s="67"/>
    </row>
    <row r="261" ht="13.5" customHeight="1">
      <c r="A261" s="67"/>
      <c r="B261" s="67"/>
      <c r="C261" s="67"/>
      <c r="D261" s="67"/>
      <c r="E261" s="67"/>
      <c r="F261" s="67"/>
      <c r="G261" s="67"/>
      <c r="H261" s="67"/>
      <c r="I261" s="67"/>
    </row>
    <row r="262" ht="13.5" customHeight="1">
      <c r="A262" s="67"/>
      <c r="B262" s="67"/>
      <c r="C262" s="67"/>
      <c r="D262" s="67"/>
      <c r="E262" s="67"/>
      <c r="F262" s="67"/>
      <c r="G262" s="67"/>
      <c r="H262" s="67"/>
      <c r="I262" s="67"/>
    </row>
    <row r="263" ht="13.5" customHeight="1">
      <c r="A263" s="67"/>
      <c r="B263" s="67"/>
      <c r="C263" s="67"/>
      <c r="D263" s="67"/>
      <c r="E263" s="67"/>
      <c r="F263" s="67"/>
      <c r="G263" s="67"/>
      <c r="H263" s="67"/>
      <c r="I263" s="67"/>
    </row>
    <row r="264" ht="13.5" customHeight="1">
      <c r="A264" s="67"/>
      <c r="B264" s="67"/>
      <c r="C264" s="67"/>
      <c r="D264" s="67"/>
      <c r="E264" s="67"/>
      <c r="F264" s="67"/>
      <c r="G264" s="67"/>
      <c r="H264" s="67"/>
      <c r="I264" s="67"/>
    </row>
    <row r="265" ht="13.5" customHeight="1">
      <c r="A265" s="67"/>
      <c r="B265" s="67"/>
      <c r="C265" s="67"/>
      <c r="D265" s="67"/>
      <c r="E265" s="67"/>
      <c r="F265" s="67"/>
      <c r="G265" s="67"/>
      <c r="H265" s="67"/>
      <c r="I265" s="67"/>
    </row>
    <row r="266" ht="13.5" customHeight="1">
      <c r="A266" s="67"/>
      <c r="B266" s="67"/>
      <c r="C266" s="67"/>
      <c r="D266" s="67"/>
      <c r="E266" s="67"/>
      <c r="F266" s="67"/>
      <c r="G266" s="67"/>
      <c r="H266" s="67"/>
      <c r="I266" s="67"/>
    </row>
    <row r="267" ht="13.5" customHeight="1">
      <c r="A267" s="67"/>
      <c r="B267" s="67"/>
      <c r="C267" s="67"/>
      <c r="D267" s="67"/>
      <c r="E267" s="67"/>
      <c r="F267" s="67"/>
      <c r="G267" s="67"/>
      <c r="H267" s="67"/>
      <c r="I267" s="67"/>
    </row>
    <row r="268" ht="13.5" customHeight="1">
      <c r="A268" s="67"/>
      <c r="B268" s="67"/>
      <c r="C268" s="67"/>
      <c r="D268" s="67"/>
      <c r="E268" s="67"/>
      <c r="F268" s="67"/>
      <c r="G268" s="67"/>
      <c r="H268" s="67"/>
      <c r="I268" s="67"/>
    </row>
    <row r="269" ht="13.5" customHeight="1">
      <c r="A269" s="67"/>
      <c r="B269" s="67"/>
      <c r="C269" s="67"/>
      <c r="D269" s="67"/>
      <c r="E269" s="67"/>
      <c r="F269" s="67"/>
      <c r="G269" s="67"/>
      <c r="H269" s="67"/>
      <c r="I269" s="67"/>
    </row>
    <row r="270" ht="13.5" customHeight="1">
      <c r="A270" s="67"/>
      <c r="B270" s="67"/>
      <c r="C270" s="67"/>
      <c r="D270" s="67"/>
      <c r="E270" s="67"/>
      <c r="F270" s="67"/>
      <c r="G270" s="67"/>
      <c r="H270" s="67"/>
      <c r="I270" s="67"/>
    </row>
    <row r="271" ht="13.5" customHeight="1">
      <c r="A271" s="67"/>
      <c r="B271" s="67"/>
      <c r="C271" s="67"/>
      <c r="D271" s="67"/>
      <c r="E271" s="67"/>
      <c r="F271" s="67"/>
      <c r="G271" s="67"/>
      <c r="H271" s="67"/>
      <c r="I271" s="67"/>
    </row>
    <row r="272" ht="13.5" customHeight="1">
      <c r="A272" s="67"/>
      <c r="B272" s="67"/>
      <c r="C272" s="67"/>
      <c r="D272" s="67"/>
      <c r="E272" s="67"/>
      <c r="F272" s="67"/>
      <c r="G272" s="67"/>
      <c r="H272" s="67"/>
      <c r="I272" s="67"/>
    </row>
    <row r="273" ht="13.5" customHeight="1">
      <c r="A273" s="67"/>
      <c r="B273" s="67"/>
      <c r="C273" s="67"/>
      <c r="D273" s="67"/>
      <c r="E273" s="67"/>
      <c r="F273" s="67"/>
      <c r="G273" s="67"/>
      <c r="H273" s="67"/>
      <c r="I273" s="67"/>
    </row>
    <row r="274" ht="13.5" customHeight="1">
      <c r="A274" s="67"/>
      <c r="B274" s="67"/>
      <c r="C274" s="67"/>
      <c r="D274" s="67"/>
      <c r="E274" s="67"/>
      <c r="F274" s="67"/>
      <c r="G274" s="67"/>
      <c r="H274" s="67"/>
      <c r="I274" s="67"/>
    </row>
    <row r="275" ht="13.5" customHeight="1">
      <c r="A275" s="67"/>
      <c r="B275" s="67"/>
      <c r="C275" s="67"/>
      <c r="D275" s="67"/>
      <c r="E275" s="67"/>
      <c r="F275" s="67"/>
      <c r="G275" s="67"/>
      <c r="H275" s="67"/>
      <c r="I275" s="67"/>
    </row>
    <row r="276" ht="13.5" customHeight="1">
      <c r="A276" s="67"/>
      <c r="B276" s="67"/>
      <c r="C276" s="67"/>
      <c r="D276" s="67"/>
      <c r="E276" s="67"/>
      <c r="F276" s="67"/>
      <c r="G276" s="67"/>
      <c r="H276" s="67"/>
      <c r="I276" s="67"/>
    </row>
    <row r="277" ht="13.5" customHeight="1">
      <c r="A277" s="67"/>
      <c r="B277" s="67"/>
      <c r="C277" s="67"/>
      <c r="D277" s="67"/>
      <c r="E277" s="67"/>
      <c r="F277" s="67"/>
      <c r="G277" s="67"/>
      <c r="H277" s="67"/>
      <c r="I277" s="67"/>
    </row>
    <row r="278" ht="13.5" customHeight="1">
      <c r="A278" s="67"/>
      <c r="B278" s="67"/>
      <c r="C278" s="67"/>
      <c r="D278" s="67"/>
      <c r="E278" s="67"/>
      <c r="F278" s="67"/>
      <c r="G278" s="67"/>
      <c r="H278" s="67"/>
      <c r="I278" s="67"/>
    </row>
    <row r="279" ht="13.5" customHeight="1">
      <c r="A279" s="67"/>
      <c r="B279" s="67"/>
      <c r="C279" s="67"/>
      <c r="D279" s="67"/>
      <c r="E279" s="67"/>
      <c r="F279" s="67"/>
      <c r="G279" s="67"/>
      <c r="H279" s="67"/>
      <c r="I279" s="67"/>
    </row>
    <row r="280" ht="13.5" customHeight="1">
      <c r="A280" s="67"/>
      <c r="B280" s="67"/>
      <c r="C280" s="67"/>
      <c r="D280" s="67"/>
      <c r="E280" s="67"/>
      <c r="F280" s="67"/>
      <c r="G280" s="67"/>
      <c r="H280" s="67"/>
      <c r="I280" s="67"/>
    </row>
    <row r="281" ht="13.5" customHeight="1">
      <c r="A281" s="67"/>
      <c r="B281" s="67"/>
      <c r="C281" s="67"/>
      <c r="D281" s="67"/>
      <c r="E281" s="67"/>
      <c r="F281" s="67"/>
      <c r="G281" s="67"/>
      <c r="H281" s="67"/>
      <c r="I281" s="67"/>
    </row>
    <row r="282" ht="13.5" customHeight="1">
      <c r="A282" s="67"/>
      <c r="B282" s="67"/>
      <c r="C282" s="67"/>
      <c r="D282" s="67"/>
      <c r="E282" s="67"/>
      <c r="F282" s="67"/>
      <c r="G282" s="67"/>
      <c r="H282" s="67"/>
      <c r="I282" s="67"/>
    </row>
    <row r="283" ht="13.5" customHeight="1">
      <c r="A283" s="67"/>
      <c r="B283" s="67"/>
      <c r="C283" s="67"/>
      <c r="D283" s="67"/>
      <c r="E283" s="67"/>
      <c r="F283" s="67"/>
      <c r="G283" s="67"/>
      <c r="H283" s="67"/>
      <c r="I283" s="67"/>
    </row>
    <row r="284" ht="13.5" customHeight="1">
      <c r="A284" s="67"/>
      <c r="B284" s="67"/>
      <c r="C284" s="67"/>
      <c r="D284" s="67"/>
      <c r="E284" s="67"/>
      <c r="F284" s="67"/>
      <c r="G284" s="67"/>
      <c r="H284" s="67"/>
      <c r="I284" s="67"/>
    </row>
    <row r="285" ht="13.5" customHeight="1">
      <c r="A285" s="67"/>
      <c r="B285" s="67"/>
      <c r="C285" s="67"/>
      <c r="D285" s="67"/>
      <c r="E285" s="67"/>
      <c r="F285" s="67"/>
      <c r="G285" s="67"/>
      <c r="H285" s="67"/>
      <c r="I285" s="67"/>
    </row>
    <row r="286" ht="13.5" customHeight="1">
      <c r="A286" s="67"/>
      <c r="B286" s="67"/>
      <c r="C286" s="67"/>
      <c r="D286" s="67"/>
      <c r="E286" s="67"/>
      <c r="F286" s="67"/>
      <c r="G286" s="67"/>
      <c r="H286" s="67"/>
      <c r="I286" s="67"/>
    </row>
    <row r="287" ht="13.5" customHeight="1">
      <c r="A287" s="67"/>
      <c r="B287" s="67"/>
      <c r="C287" s="67"/>
      <c r="D287" s="67"/>
      <c r="E287" s="67"/>
      <c r="F287" s="67"/>
      <c r="G287" s="67"/>
      <c r="H287" s="67"/>
      <c r="I287" s="67"/>
    </row>
    <row r="288" ht="13.5" customHeight="1">
      <c r="A288" s="67"/>
      <c r="B288" s="67"/>
      <c r="C288" s="67"/>
      <c r="D288" s="67"/>
      <c r="E288" s="67"/>
      <c r="F288" s="67"/>
      <c r="G288" s="67"/>
      <c r="H288" s="67"/>
      <c r="I288" s="67"/>
    </row>
    <row r="289" ht="13.5" customHeight="1">
      <c r="A289" s="67"/>
      <c r="B289" s="67"/>
      <c r="C289" s="67"/>
      <c r="D289" s="67"/>
      <c r="E289" s="67"/>
      <c r="F289" s="67"/>
      <c r="G289" s="67"/>
      <c r="H289" s="67"/>
      <c r="I289" s="67"/>
    </row>
    <row r="290" ht="13.5" customHeight="1">
      <c r="A290" s="67"/>
      <c r="B290" s="67"/>
      <c r="C290" s="67"/>
      <c r="D290" s="67"/>
      <c r="E290" s="67"/>
      <c r="F290" s="67"/>
      <c r="G290" s="67"/>
      <c r="H290" s="67"/>
      <c r="I290" s="67"/>
    </row>
    <row r="291" ht="13.5" customHeight="1">
      <c r="A291" s="67"/>
      <c r="B291" s="67"/>
      <c r="C291" s="67"/>
      <c r="D291" s="67"/>
      <c r="E291" s="67"/>
      <c r="F291" s="67"/>
      <c r="G291" s="67"/>
      <c r="H291" s="67"/>
      <c r="I291" s="67"/>
    </row>
    <row r="292" ht="13.5" customHeight="1">
      <c r="A292" s="67"/>
      <c r="B292" s="67"/>
      <c r="C292" s="67"/>
      <c r="D292" s="67"/>
      <c r="E292" s="67"/>
      <c r="F292" s="67"/>
      <c r="G292" s="67"/>
      <c r="H292" s="67"/>
      <c r="I292" s="67"/>
    </row>
    <row r="293" ht="13.5" customHeight="1">
      <c r="A293" s="67"/>
      <c r="B293" s="67"/>
      <c r="C293" s="67"/>
      <c r="D293" s="67"/>
      <c r="E293" s="67"/>
      <c r="F293" s="67"/>
      <c r="G293" s="67"/>
      <c r="H293" s="67"/>
      <c r="I293" s="67"/>
    </row>
    <row r="294" ht="13.5" customHeight="1">
      <c r="A294" s="67"/>
      <c r="B294" s="67"/>
      <c r="C294" s="67"/>
      <c r="D294" s="67"/>
      <c r="E294" s="67"/>
      <c r="F294" s="67"/>
      <c r="G294" s="67"/>
      <c r="H294" s="67"/>
      <c r="I294" s="67"/>
    </row>
    <row r="295" ht="13.5" customHeight="1">
      <c r="A295" s="67"/>
      <c r="B295" s="67"/>
      <c r="C295" s="67"/>
      <c r="D295" s="67"/>
      <c r="E295" s="67"/>
      <c r="F295" s="67"/>
      <c r="G295" s="67"/>
      <c r="H295" s="67"/>
      <c r="I295" s="67"/>
    </row>
    <row r="296" ht="13.5" customHeight="1">
      <c r="A296" s="67"/>
      <c r="B296" s="67"/>
      <c r="C296" s="67"/>
      <c r="D296" s="67"/>
      <c r="E296" s="67"/>
      <c r="F296" s="67"/>
      <c r="G296" s="67"/>
      <c r="H296" s="67"/>
      <c r="I296" s="67"/>
    </row>
    <row r="297" ht="13.5" customHeight="1">
      <c r="A297" s="67"/>
      <c r="B297" s="67"/>
      <c r="C297" s="67"/>
      <c r="D297" s="67"/>
      <c r="E297" s="67"/>
      <c r="F297" s="67"/>
      <c r="G297" s="67"/>
      <c r="H297" s="67"/>
      <c r="I297" s="67"/>
    </row>
    <row r="298" ht="13.5" customHeight="1">
      <c r="A298" s="67"/>
      <c r="B298" s="67"/>
      <c r="C298" s="67"/>
      <c r="D298" s="67"/>
      <c r="E298" s="67"/>
      <c r="F298" s="67"/>
      <c r="G298" s="67"/>
      <c r="H298" s="67"/>
      <c r="I298" s="67"/>
    </row>
    <row r="299" ht="13.5" customHeight="1">
      <c r="A299" s="67"/>
      <c r="B299" s="67"/>
      <c r="C299" s="67"/>
      <c r="D299" s="67"/>
      <c r="E299" s="67"/>
      <c r="F299" s="67"/>
      <c r="G299" s="67"/>
      <c r="H299" s="67"/>
      <c r="I299" s="67"/>
    </row>
    <row r="300" ht="13.5" customHeight="1">
      <c r="A300" s="67"/>
      <c r="B300" s="67"/>
      <c r="C300" s="67"/>
      <c r="D300" s="67"/>
      <c r="E300" s="67"/>
      <c r="F300" s="67"/>
      <c r="G300" s="67"/>
      <c r="H300" s="67"/>
      <c r="I300" s="67"/>
    </row>
    <row r="301" ht="13.5" customHeight="1">
      <c r="A301" s="67"/>
      <c r="B301" s="67"/>
      <c r="C301" s="67"/>
      <c r="D301" s="67"/>
      <c r="E301" s="67"/>
      <c r="F301" s="67"/>
      <c r="G301" s="67"/>
      <c r="H301" s="67"/>
      <c r="I301" s="67"/>
    </row>
    <row r="302" ht="13.5" customHeight="1">
      <c r="A302" s="67"/>
      <c r="B302" s="67"/>
      <c r="C302" s="67"/>
      <c r="D302" s="67"/>
      <c r="E302" s="67"/>
      <c r="F302" s="67"/>
      <c r="G302" s="67"/>
      <c r="H302" s="67"/>
      <c r="I302" s="67"/>
    </row>
    <row r="303" ht="13.5" customHeight="1">
      <c r="A303" s="67"/>
      <c r="B303" s="67"/>
      <c r="C303" s="67"/>
      <c r="D303" s="67"/>
      <c r="E303" s="67"/>
      <c r="F303" s="67"/>
      <c r="G303" s="67"/>
      <c r="H303" s="67"/>
      <c r="I303" s="67"/>
    </row>
    <row r="304" ht="13.5" customHeight="1">
      <c r="A304" s="67"/>
      <c r="B304" s="67"/>
      <c r="C304" s="67"/>
      <c r="D304" s="67"/>
      <c r="E304" s="67"/>
      <c r="F304" s="67"/>
      <c r="G304" s="67"/>
      <c r="H304" s="67"/>
      <c r="I304" s="67"/>
    </row>
    <row r="305" ht="13.5" customHeight="1">
      <c r="A305" s="67"/>
      <c r="B305" s="67"/>
      <c r="C305" s="67"/>
      <c r="D305" s="67"/>
      <c r="E305" s="67"/>
      <c r="F305" s="67"/>
      <c r="G305" s="67"/>
      <c r="H305" s="67"/>
      <c r="I305" s="67"/>
    </row>
    <row r="306" ht="13.5" customHeight="1">
      <c r="A306" s="67"/>
      <c r="B306" s="67"/>
      <c r="C306" s="67"/>
      <c r="D306" s="67"/>
      <c r="E306" s="67"/>
      <c r="F306" s="67"/>
      <c r="G306" s="67"/>
      <c r="H306" s="67"/>
      <c r="I306" s="67"/>
    </row>
    <row r="307" ht="13.5" customHeight="1">
      <c r="A307" s="67"/>
      <c r="B307" s="67"/>
      <c r="C307" s="67"/>
      <c r="D307" s="67"/>
      <c r="E307" s="67"/>
      <c r="F307" s="67"/>
      <c r="G307" s="67"/>
      <c r="H307" s="67"/>
      <c r="I307" s="67"/>
    </row>
    <row r="308" ht="13.5" customHeight="1">
      <c r="A308" s="67"/>
      <c r="B308" s="67"/>
      <c r="C308" s="67"/>
      <c r="D308" s="67"/>
      <c r="E308" s="67"/>
      <c r="F308" s="67"/>
      <c r="G308" s="67"/>
      <c r="H308" s="67"/>
      <c r="I308" s="67"/>
    </row>
    <row r="309" ht="13.5" customHeight="1">
      <c r="A309" s="67"/>
      <c r="B309" s="67"/>
      <c r="C309" s="67"/>
      <c r="D309" s="67"/>
      <c r="E309" s="67"/>
      <c r="F309" s="67"/>
      <c r="G309" s="67"/>
      <c r="H309" s="67"/>
      <c r="I309" s="67"/>
    </row>
    <row r="310" ht="13.5" customHeight="1">
      <c r="A310" s="67"/>
      <c r="B310" s="67"/>
      <c r="C310" s="67"/>
      <c r="D310" s="67"/>
      <c r="E310" s="67"/>
      <c r="F310" s="67"/>
      <c r="G310" s="67"/>
      <c r="H310" s="67"/>
      <c r="I310" s="67"/>
    </row>
    <row r="311" ht="13.5" customHeight="1">
      <c r="A311" s="67"/>
      <c r="B311" s="67"/>
      <c r="C311" s="67"/>
      <c r="D311" s="67"/>
      <c r="E311" s="67"/>
      <c r="F311" s="67"/>
      <c r="G311" s="67"/>
      <c r="H311" s="67"/>
      <c r="I311" s="67"/>
    </row>
    <row r="312" ht="13.5" customHeight="1">
      <c r="A312" s="67"/>
      <c r="B312" s="67"/>
      <c r="C312" s="67"/>
      <c r="D312" s="67"/>
      <c r="E312" s="67"/>
      <c r="F312" s="67"/>
      <c r="G312" s="67"/>
      <c r="H312" s="67"/>
      <c r="I312" s="67"/>
    </row>
    <row r="313" ht="13.5" customHeight="1">
      <c r="A313" s="67"/>
      <c r="B313" s="67"/>
      <c r="C313" s="67"/>
      <c r="D313" s="67"/>
      <c r="E313" s="67"/>
      <c r="F313" s="67"/>
      <c r="G313" s="67"/>
      <c r="H313" s="67"/>
      <c r="I313" s="67"/>
    </row>
    <row r="314" ht="13.5" customHeight="1">
      <c r="A314" s="67"/>
      <c r="B314" s="67"/>
      <c r="C314" s="67"/>
      <c r="D314" s="67"/>
      <c r="E314" s="67"/>
      <c r="F314" s="67"/>
      <c r="G314" s="67"/>
      <c r="H314" s="67"/>
      <c r="I314" s="67"/>
    </row>
    <row r="315" ht="13.5" customHeight="1">
      <c r="A315" s="67"/>
      <c r="B315" s="67"/>
      <c r="C315" s="67"/>
      <c r="D315" s="67"/>
      <c r="E315" s="67"/>
      <c r="F315" s="67"/>
      <c r="G315" s="67"/>
      <c r="H315" s="67"/>
      <c r="I315" s="67"/>
    </row>
    <row r="316" ht="13.5" customHeight="1">
      <c r="A316" s="67"/>
      <c r="B316" s="67"/>
      <c r="C316" s="67"/>
      <c r="D316" s="67"/>
      <c r="E316" s="67"/>
      <c r="F316" s="67"/>
      <c r="G316" s="67"/>
      <c r="H316" s="67"/>
      <c r="I316" s="67"/>
    </row>
    <row r="317" ht="13.5" customHeight="1">
      <c r="A317" s="67"/>
      <c r="B317" s="67"/>
      <c r="C317" s="67"/>
      <c r="D317" s="67"/>
      <c r="E317" s="67"/>
      <c r="F317" s="67"/>
      <c r="G317" s="67"/>
      <c r="H317" s="67"/>
      <c r="I317" s="67"/>
    </row>
    <row r="318" ht="13.5" customHeight="1">
      <c r="A318" s="67"/>
      <c r="B318" s="67"/>
      <c r="C318" s="67"/>
      <c r="D318" s="67"/>
      <c r="E318" s="67"/>
      <c r="F318" s="67"/>
      <c r="G318" s="67"/>
      <c r="H318" s="67"/>
      <c r="I318" s="67"/>
    </row>
    <row r="319" ht="13.5" customHeight="1">
      <c r="A319" s="67"/>
      <c r="B319" s="67"/>
      <c r="C319" s="67"/>
      <c r="D319" s="67"/>
      <c r="E319" s="67"/>
      <c r="F319" s="67"/>
      <c r="G319" s="67"/>
      <c r="H319" s="67"/>
      <c r="I319" s="67"/>
    </row>
    <row r="320" ht="13.5" customHeight="1">
      <c r="A320" s="67"/>
      <c r="B320" s="67"/>
      <c r="C320" s="67"/>
      <c r="D320" s="67"/>
      <c r="E320" s="67"/>
      <c r="F320" s="67"/>
      <c r="G320" s="67"/>
      <c r="H320" s="67"/>
      <c r="I320" s="67"/>
    </row>
    <row r="321" ht="13.5" customHeight="1">
      <c r="A321" s="67"/>
      <c r="B321" s="67"/>
      <c r="C321" s="67"/>
      <c r="D321" s="67"/>
      <c r="E321" s="67"/>
      <c r="F321" s="67"/>
      <c r="G321" s="67"/>
      <c r="H321" s="67"/>
      <c r="I321" s="67"/>
    </row>
    <row r="322" ht="13.5" customHeight="1">
      <c r="A322" s="67"/>
      <c r="B322" s="67"/>
      <c r="C322" s="67"/>
      <c r="D322" s="67"/>
      <c r="E322" s="67"/>
      <c r="F322" s="67"/>
      <c r="G322" s="67"/>
      <c r="H322" s="67"/>
      <c r="I322" s="67"/>
    </row>
    <row r="323" ht="13.5" customHeight="1">
      <c r="A323" s="67"/>
      <c r="B323" s="67"/>
      <c r="C323" s="67"/>
      <c r="D323" s="67"/>
      <c r="E323" s="67"/>
      <c r="F323" s="67"/>
      <c r="G323" s="67"/>
      <c r="H323" s="67"/>
      <c r="I323" s="67"/>
    </row>
    <row r="324" ht="13.5" customHeight="1">
      <c r="A324" s="67"/>
      <c r="B324" s="67"/>
      <c r="C324" s="67"/>
      <c r="D324" s="67"/>
      <c r="E324" s="67"/>
      <c r="F324" s="67"/>
      <c r="G324" s="67"/>
      <c r="H324" s="67"/>
      <c r="I324" s="67"/>
    </row>
    <row r="325" ht="13.5" customHeight="1">
      <c r="A325" s="67"/>
      <c r="B325" s="67"/>
      <c r="C325" s="67"/>
      <c r="D325" s="67"/>
      <c r="E325" s="67"/>
      <c r="F325" s="67"/>
      <c r="G325" s="67"/>
      <c r="H325" s="67"/>
      <c r="I325" s="67"/>
    </row>
    <row r="326" ht="13.5" customHeight="1">
      <c r="A326" s="67"/>
      <c r="B326" s="67"/>
      <c r="C326" s="67"/>
      <c r="D326" s="67"/>
      <c r="E326" s="67"/>
      <c r="F326" s="67"/>
      <c r="G326" s="67"/>
      <c r="H326" s="67"/>
      <c r="I326" s="67"/>
    </row>
    <row r="327" ht="13.5" customHeight="1">
      <c r="A327" s="67"/>
      <c r="B327" s="67"/>
      <c r="C327" s="67"/>
      <c r="D327" s="67"/>
      <c r="E327" s="67"/>
      <c r="F327" s="67"/>
      <c r="G327" s="67"/>
      <c r="H327" s="67"/>
      <c r="I327" s="67"/>
    </row>
    <row r="328" ht="13.5" customHeight="1">
      <c r="A328" s="67"/>
      <c r="B328" s="67"/>
      <c r="C328" s="67"/>
      <c r="D328" s="67"/>
      <c r="E328" s="67"/>
      <c r="F328" s="67"/>
      <c r="G328" s="67"/>
      <c r="H328" s="67"/>
      <c r="I328" s="67"/>
    </row>
    <row r="329" ht="13.5" customHeight="1">
      <c r="A329" s="67"/>
      <c r="B329" s="67"/>
      <c r="C329" s="67"/>
      <c r="D329" s="67"/>
      <c r="E329" s="67"/>
      <c r="F329" s="67"/>
      <c r="G329" s="67"/>
      <c r="H329" s="67"/>
      <c r="I329" s="67"/>
    </row>
    <row r="330" ht="13.5" customHeight="1">
      <c r="A330" s="67"/>
      <c r="B330" s="67"/>
      <c r="C330" s="67"/>
      <c r="D330" s="67"/>
      <c r="E330" s="67"/>
      <c r="F330" s="67"/>
      <c r="G330" s="67"/>
      <c r="H330" s="67"/>
      <c r="I330" s="67"/>
    </row>
    <row r="331" ht="13.5" customHeight="1">
      <c r="A331" s="67"/>
      <c r="B331" s="67"/>
      <c r="C331" s="67"/>
      <c r="D331" s="67"/>
      <c r="E331" s="67"/>
      <c r="F331" s="67"/>
      <c r="G331" s="67"/>
      <c r="H331" s="67"/>
      <c r="I331" s="67"/>
    </row>
    <row r="332" ht="13.5" customHeight="1">
      <c r="A332" s="67"/>
      <c r="B332" s="67"/>
      <c r="C332" s="67"/>
      <c r="D332" s="67"/>
      <c r="E332" s="67"/>
      <c r="F332" s="67"/>
      <c r="G332" s="67"/>
      <c r="H332" s="67"/>
      <c r="I332" s="67"/>
    </row>
    <row r="333" ht="13.5" customHeight="1">
      <c r="A333" s="67"/>
      <c r="B333" s="67"/>
      <c r="C333" s="67"/>
      <c r="D333" s="67"/>
      <c r="E333" s="67"/>
      <c r="F333" s="67"/>
      <c r="G333" s="67"/>
      <c r="H333" s="67"/>
      <c r="I333" s="67"/>
    </row>
    <row r="334" ht="13.5" customHeight="1">
      <c r="A334" s="67"/>
      <c r="B334" s="67"/>
      <c r="C334" s="67"/>
      <c r="D334" s="67"/>
      <c r="E334" s="67"/>
      <c r="F334" s="67"/>
      <c r="G334" s="67"/>
      <c r="H334" s="67"/>
      <c r="I334" s="67"/>
    </row>
    <row r="335" ht="13.5" customHeight="1">
      <c r="A335" s="67"/>
      <c r="B335" s="67"/>
      <c r="C335" s="67"/>
      <c r="D335" s="67"/>
      <c r="E335" s="67"/>
      <c r="F335" s="67"/>
      <c r="G335" s="67"/>
      <c r="H335" s="67"/>
      <c r="I335" s="67"/>
    </row>
    <row r="336" ht="13.5" customHeight="1">
      <c r="A336" s="67"/>
      <c r="B336" s="67"/>
      <c r="C336" s="67"/>
      <c r="D336" s="67"/>
      <c r="E336" s="67"/>
      <c r="F336" s="67"/>
      <c r="G336" s="67"/>
      <c r="H336" s="67"/>
      <c r="I336" s="67"/>
    </row>
    <row r="337" ht="13.5" customHeight="1">
      <c r="A337" s="67"/>
      <c r="B337" s="67"/>
      <c r="C337" s="67"/>
      <c r="D337" s="67"/>
      <c r="E337" s="67"/>
      <c r="F337" s="67"/>
      <c r="G337" s="67"/>
      <c r="H337" s="67"/>
      <c r="I337" s="67"/>
    </row>
    <row r="338" ht="13.5" customHeight="1">
      <c r="A338" s="67"/>
      <c r="B338" s="67"/>
      <c r="C338" s="67"/>
      <c r="D338" s="67"/>
      <c r="E338" s="67"/>
      <c r="F338" s="67"/>
      <c r="G338" s="67"/>
      <c r="H338" s="67"/>
      <c r="I338" s="67"/>
    </row>
    <row r="339" ht="13.5" customHeight="1">
      <c r="A339" s="67"/>
      <c r="B339" s="67"/>
      <c r="C339" s="67"/>
      <c r="D339" s="67"/>
      <c r="E339" s="67"/>
      <c r="F339" s="67"/>
      <c r="G339" s="67"/>
      <c r="H339" s="67"/>
      <c r="I339" s="67"/>
    </row>
    <row r="340" ht="13.5" customHeight="1">
      <c r="A340" s="67"/>
      <c r="B340" s="67"/>
      <c r="C340" s="67"/>
      <c r="D340" s="67"/>
      <c r="E340" s="67"/>
      <c r="F340" s="67"/>
      <c r="G340" s="67"/>
      <c r="H340" s="67"/>
      <c r="I340" s="67"/>
    </row>
    <row r="341" ht="13.5" customHeight="1">
      <c r="A341" s="67"/>
      <c r="B341" s="67"/>
      <c r="C341" s="67"/>
      <c r="D341" s="67"/>
      <c r="E341" s="67"/>
      <c r="F341" s="67"/>
      <c r="G341" s="67"/>
      <c r="H341" s="67"/>
      <c r="I341" s="67"/>
    </row>
    <row r="342" ht="13.5" customHeight="1">
      <c r="A342" s="67"/>
      <c r="B342" s="67"/>
      <c r="C342" s="67"/>
      <c r="D342" s="67"/>
      <c r="E342" s="67"/>
      <c r="F342" s="67"/>
      <c r="G342" s="67"/>
      <c r="H342" s="67"/>
      <c r="I342" s="67"/>
    </row>
    <row r="343" ht="13.5" customHeight="1">
      <c r="A343" s="67"/>
      <c r="B343" s="67"/>
      <c r="C343" s="67"/>
      <c r="D343" s="67"/>
      <c r="E343" s="67"/>
      <c r="F343" s="67"/>
      <c r="G343" s="67"/>
      <c r="H343" s="67"/>
      <c r="I343" s="67"/>
    </row>
    <row r="344" ht="13.5" customHeight="1">
      <c r="A344" s="67"/>
      <c r="B344" s="67"/>
      <c r="C344" s="67"/>
      <c r="D344" s="67"/>
      <c r="E344" s="67"/>
      <c r="F344" s="67"/>
      <c r="G344" s="67"/>
      <c r="H344" s="67"/>
      <c r="I344" s="67"/>
    </row>
    <row r="345" ht="13.5" customHeight="1">
      <c r="A345" s="67"/>
      <c r="B345" s="67"/>
      <c r="C345" s="67"/>
      <c r="D345" s="67"/>
      <c r="E345" s="67"/>
      <c r="F345" s="67"/>
      <c r="G345" s="67"/>
      <c r="H345" s="67"/>
      <c r="I345" s="67"/>
    </row>
    <row r="346" ht="13.5" customHeight="1">
      <c r="A346" s="67"/>
      <c r="B346" s="67"/>
      <c r="C346" s="67"/>
      <c r="D346" s="67"/>
      <c r="E346" s="67"/>
      <c r="F346" s="67"/>
      <c r="G346" s="67"/>
      <c r="H346" s="67"/>
      <c r="I346" s="67"/>
    </row>
    <row r="347" ht="13.5" customHeight="1">
      <c r="A347" s="67"/>
      <c r="B347" s="67"/>
      <c r="C347" s="67"/>
      <c r="D347" s="67"/>
      <c r="E347" s="67"/>
      <c r="F347" s="67"/>
      <c r="G347" s="67"/>
      <c r="H347" s="67"/>
      <c r="I347" s="67"/>
    </row>
    <row r="348" ht="13.5" customHeight="1">
      <c r="A348" s="67"/>
      <c r="B348" s="67"/>
      <c r="C348" s="67"/>
      <c r="D348" s="67"/>
      <c r="E348" s="67"/>
      <c r="F348" s="67"/>
      <c r="G348" s="67"/>
      <c r="H348" s="67"/>
      <c r="I348" s="67"/>
    </row>
    <row r="349" ht="13.5" customHeight="1">
      <c r="A349" s="67"/>
      <c r="B349" s="67"/>
      <c r="C349" s="67"/>
      <c r="D349" s="67"/>
      <c r="E349" s="67"/>
      <c r="F349" s="67"/>
      <c r="G349" s="67"/>
      <c r="H349" s="67"/>
      <c r="I349" s="67"/>
    </row>
    <row r="350" ht="13.5" customHeight="1">
      <c r="A350" s="67"/>
      <c r="B350" s="67"/>
      <c r="C350" s="67"/>
      <c r="D350" s="67"/>
      <c r="E350" s="67"/>
      <c r="F350" s="67"/>
      <c r="G350" s="67"/>
      <c r="H350" s="67"/>
      <c r="I350" s="67"/>
    </row>
    <row r="351" ht="13.5" customHeight="1">
      <c r="A351" s="67"/>
      <c r="B351" s="67"/>
      <c r="C351" s="67"/>
      <c r="D351" s="67"/>
      <c r="E351" s="67"/>
      <c r="F351" s="67"/>
      <c r="G351" s="67"/>
      <c r="H351" s="67"/>
      <c r="I351" s="67"/>
    </row>
    <row r="352" ht="13.5" customHeight="1">
      <c r="A352" s="67"/>
      <c r="B352" s="67"/>
      <c r="C352" s="67"/>
      <c r="D352" s="67"/>
      <c r="E352" s="67"/>
      <c r="F352" s="67"/>
      <c r="G352" s="67"/>
      <c r="H352" s="67"/>
      <c r="I352" s="67"/>
    </row>
    <row r="353" ht="13.5" customHeight="1">
      <c r="A353" s="67"/>
      <c r="B353" s="67"/>
      <c r="C353" s="67"/>
      <c r="D353" s="67"/>
      <c r="E353" s="67"/>
      <c r="F353" s="67"/>
      <c r="G353" s="67"/>
      <c r="H353" s="67"/>
      <c r="I353" s="67"/>
    </row>
    <row r="354" ht="13.5" customHeight="1">
      <c r="A354" s="67"/>
      <c r="B354" s="67"/>
      <c r="C354" s="67"/>
      <c r="D354" s="67"/>
      <c r="E354" s="67"/>
      <c r="F354" s="67"/>
      <c r="G354" s="67"/>
      <c r="H354" s="67"/>
      <c r="I354" s="67"/>
    </row>
    <row r="355" ht="13.5" customHeight="1">
      <c r="A355" s="67"/>
      <c r="B355" s="67"/>
      <c r="C355" s="67"/>
      <c r="D355" s="67"/>
      <c r="E355" s="67"/>
      <c r="F355" s="67"/>
      <c r="G355" s="67"/>
      <c r="H355" s="67"/>
      <c r="I355" s="67"/>
    </row>
    <row r="356" ht="13.5" customHeight="1">
      <c r="A356" s="67"/>
      <c r="B356" s="67"/>
      <c r="C356" s="67"/>
      <c r="D356" s="67"/>
      <c r="E356" s="67"/>
      <c r="F356" s="67"/>
      <c r="G356" s="67"/>
      <c r="H356" s="67"/>
      <c r="I356" s="67"/>
    </row>
    <row r="357" ht="13.5" customHeight="1">
      <c r="A357" s="67"/>
      <c r="B357" s="67"/>
      <c r="C357" s="67"/>
      <c r="D357" s="67"/>
      <c r="E357" s="67"/>
      <c r="F357" s="67"/>
      <c r="G357" s="67"/>
      <c r="H357" s="67"/>
      <c r="I357" s="67"/>
    </row>
    <row r="358" ht="13.5" customHeight="1">
      <c r="A358" s="67"/>
      <c r="B358" s="67"/>
      <c r="C358" s="67"/>
      <c r="D358" s="67"/>
      <c r="E358" s="67"/>
      <c r="F358" s="67"/>
      <c r="G358" s="67"/>
      <c r="H358" s="67"/>
      <c r="I358" s="67"/>
    </row>
    <row r="359" ht="13.5" customHeight="1">
      <c r="A359" s="67"/>
      <c r="B359" s="67"/>
      <c r="C359" s="67"/>
      <c r="D359" s="67"/>
      <c r="E359" s="67"/>
      <c r="F359" s="67"/>
      <c r="G359" s="67"/>
      <c r="H359" s="67"/>
      <c r="I359" s="67"/>
    </row>
    <row r="360" ht="13.5" customHeight="1">
      <c r="A360" s="67"/>
      <c r="B360" s="67"/>
      <c r="C360" s="67"/>
      <c r="D360" s="67"/>
      <c r="E360" s="67"/>
      <c r="F360" s="67"/>
      <c r="G360" s="67"/>
      <c r="H360" s="67"/>
      <c r="I360" s="67"/>
    </row>
    <row r="361" ht="13.5" customHeight="1">
      <c r="A361" s="67"/>
      <c r="B361" s="67"/>
      <c r="C361" s="67"/>
      <c r="D361" s="67"/>
      <c r="E361" s="67"/>
      <c r="F361" s="67"/>
      <c r="G361" s="67"/>
      <c r="H361" s="67"/>
      <c r="I361" s="67"/>
    </row>
    <row r="362" ht="13.5" customHeight="1">
      <c r="A362" s="67"/>
      <c r="B362" s="67"/>
      <c r="C362" s="67"/>
      <c r="D362" s="67"/>
      <c r="E362" s="67"/>
      <c r="F362" s="67"/>
      <c r="G362" s="67"/>
      <c r="H362" s="67"/>
      <c r="I362" s="67"/>
    </row>
    <row r="363" ht="13.5" customHeight="1">
      <c r="A363" s="67"/>
      <c r="B363" s="67"/>
      <c r="C363" s="67"/>
      <c r="D363" s="67"/>
      <c r="E363" s="67"/>
      <c r="F363" s="67"/>
      <c r="G363" s="67"/>
      <c r="H363" s="67"/>
      <c r="I363" s="67"/>
    </row>
    <row r="364" ht="13.5" customHeight="1">
      <c r="A364" s="67"/>
      <c r="B364" s="67"/>
      <c r="C364" s="67"/>
      <c r="D364" s="67"/>
      <c r="E364" s="67"/>
      <c r="F364" s="67"/>
      <c r="G364" s="67"/>
      <c r="H364" s="67"/>
      <c r="I364" s="67"/>
    </row>
    <row r="365" ht="13.5" customHeight="1">
      <c r="A365" s="67"/>
      <c r="B365" s="67"/>
      <c r="C365" s="67"/>
      <c r="D365" s="67"/>
      <c r="E365" s="67"/>
      <c r="F365" s="67"/>
      <c r="G365" s="67"/>
      <c r="H365" s="67"/>
      <c r="I365" s="67"/>
    </row>
    <row r="366" ht="13.5" customHeight="1">
      <c r="A366" s="67"/>
      <c r="B366" s="67"/>
      <c r="C366" s="67"/>
      <c r="D366" s="67"/>
      <c r="E366" s="67"/>
      <c r="F366" s="67"/>
      <c r="G366" s="67"/>
      <c r="H366" s="67"/>
      <c r="I366" s="67"/>
    </row>
    <row r="367" ht="13.5" customHeight="1">
      <c r="A367" s="67"/>
      <c r="B367" s="67"/>
      <c r="C367" s="67"/>
      <c r="D367" s="67"/>
      <c r="E367" s="67"/>
      <c r="F367" s="67"/>
      <c r="G367" s="67"/>
      <c r="H367" s="67"/>
      <c r="I367" s="67"/>
    </row>
    <row r="368" ht="13.5" customHeight="1">
      <c r="A368" s="67"/>
      <c r="B368" s="67"/>
      <c r="C368" s="67"/>
      <c r="D368" s="67"/>
      <c r="E368" s="67"/>
      <c r="F368" s="67"/>
      <c r="G368" s="67"/>
      <c r="H368" s="67"/>
      <c r="I368" s="67"/>
    </row>
    <row r="369" ht="13.5" customHeight="1">
      <c r="A369" s="67"/>
      <c r="B369" s="67"/>
      <c r="C369" s="67"/>
      <c r="D369" s="67"/>
      <c r="E369" s="67"/>
      <c r="F369" s="67"/>
      <c r="G369" s="67"/>
      <c r="H369" s="67"/>
      <c r="I369" s="67"/>
    </row>
    <row r="370" ht="13.5" customHeight="1">
      <c r="A370" s="67"/>
      <c r="B370" s="67"/>
      <c r="C370" s="67"/>
      <c r="D370" s="67"/>
      <c r="E370" s="67"/>
      <c r="F370" s="67"/>
      <c r="G370" s="67"/>
      <c r="H370" s="67"/>
      <c r="I370" s="67"/>
    </row>
    <row r="371" ht="13.5" customHeight="1">
      <c r="A371" s="67"/>
      <c r="B371" s="67"/>
      <c r="C371" s="67"/>
      <c r="D371" s="67"/>
      <c r="E371" s="67"/>
      <c r="F371" s="67"/>
      <c r="G371" s="67"/>
      <c r="H371" s="67"/>
      <c r="I371" s="67"/>
    </row>
    <row r="372" ht="13.5" customHeight="1">
      <c r="A372" s="67"/>
      <c r="B372" s="67"/>
      <c r="C372" s="67"/>
      <c r="D372" s="67"/>
      <c r="E372" s="67"/>
      <c r="F372" s="67"/>
      <c r="G372" s="67"/>
      <c r="H372" s="67"/>
      <c r="I372" s="67"/>
    </row>
    <row r="373" ht="13.5" customHeight="1">
      <c r="A373" s="67"/>
      <c r="B373" s="67"/>
      <c r="C373" s="67"/>
      <c r="D373" s="67"/>
      <c r="E373" s="67"/>
      <c r="F373" s="67"/>
      <c r="G373" s="67"/>
      <c r="H373" s="67"/>
      <c r="I373" s="67"/>
    </row>
    <row r="374" ht="13.5" customHeight="1">
      <c r="A374" s="67"/>
      <c r="B374" s="67"/>
      <c r="C374" s="67"/>
      <c r="D374" s="67"/>
      <c r="E374" s="67"/>
      <c r="F374" s="67"/>
      <c r="G374" s="67"/>
      <c r="H374" s="67"/>
      <c r="I374" s="67"/>
    </row>
    <row r="375" ht="13.5" customHeight="1">
      <c r="A375" s="67"/>
      <c r="B375" s="67"/>
      <c r="C375" s="67"/>
      <c r="D375" s="67"/>
      <c r="E375" s="67"/>
      <c r="F375" s="67"/>
      <c r="G375" s="67"/>
      <c r="H375" s="67"/>
      <c r="I375" s="67"/>
    </row>
    <row r="376" ht="13.5" customHeight="1">
      <c r="A376" s="67"/>
      <c r="B376" s="67"/>
      <c r="C376" s="67"/>
      <c r="D376" s="67"/>
      <c r="E376" s="67"/>
      <c r="F376" s="67"/>
      <c r="G376" s="67"/>
      <c r="H376" s="67"/>
      <c r="I376" s="67"/>
    </row>
    <row r="377" ht="13.5" customHeight="1">
      <c r="A377" s="67"/>
      <c r="B377" s="67"/>
      <c r="C377" s="67"/>
      <c r="D377" s="67"/>
      <c r="E377" s="67"/>
      <c r="F377" s="67"/>
      <c r="G377" s="67"/>
      <c r="H377" s="67"/>
      <c r="I377" s="67"/>
    </row>
    <row r="378" ht="13.5" customHeight="1">
      <c r="A378" s="67"/>
      <c r="B378" s="67"/>
      <c r="C378" s="67"/>
      <c r="D378" s="67"/>
      <c r="E378" s="67"/>
      <c r="F378" s="67"/>
      <c r="G378" s="67"/>
      <c r="H378" s="67"/>
      <c r="I378" s="67"/>
    </row>
    <row r="379" ht="13.5" customHeight="1">
      <c r="A379" s="67"/>
      <c r="B379" s="67"/>
      <c r="C379" s="67"/>
      <c r="D379" s="67"/>
      <c r="E379" s="67"/>
      <c r="F379" s="67"/>
      <c r="G379" s="67"/>
      <c r="H379" s="67"/>
      <c r="I379" s="67"/>
    </row>
    <row r="380" ht="13.5" customHeight="1">
      <c r="A380" s="67"/>
      <c r="B380" s="67"/>
      <c r="C380" s="67"/>
      <c r="D380" s="67"/>
      <c r="E380" s="67"/>
      <c r="F380" s="67"/>
      <c r="G380" s="67"/>
      <c r="H380" s="67"/>
      <c r="I380" s="67"/>
    </row>
    <row r="381" ht="13.5" customHeight="1">
      <c r="A381" s="67"/>
      <c r="B381" s="67"/>
      <c r="C381" s="67"/>
      <c r="D381" s="67"/>
      <c r="E381" s="67"/>
      <c r="F381" s="67"/>
      <c r="G381" s="67"/>
      <c r="H381" s="67"/>
      <c r="I381" s="67"/>
    </row>
    <row r="382" ht="13.5" customHeight="1">
      <c r="A382" s="67"/>
      <c r="B382" s="67"/>
      <c r="C382" s="67"/>
      <c r="D382" s="67"/>
      <c r="E382" s="67"/>
      <c r="F382" s="67"/>
      <c r="G382" s="67"/>
      <c r="H382" s="67"/>
      <c r="I382" s="67"/>
    </row>
    <row r="383" ht="13.5" customHeight="1">
      <c r="A383" s="67"/>
      <c r="B383" s="67"/>
      <c r="C383" s="67"/>
      <c r="D383" s="67"/>
      <c r="E383" s="67"/>
      <c r="F383" s="67"/>
      <c r="G383" s="67"/>
      <c r="H383" s="67"/>
      <c r="I383" s="67"/>
    </row>
    <row r="384" ht="13.5" customHeight="1">
      <c r="A384" s="67"/>
      <c r="B384" s="67"/>
      <c r="C384" s="67"/>
      <c r="D384" s="67"/>
      <c r="E384" s="67"/>
      <c r="F384" s="67"/>
      <c r="G384" s="67"/>
      <c r="H384" s="67"/>
      <c r="I384" s="67"/>
    </row>
    <row r="385" ht="13.5" customHeight="1">
      <c r="A385" s="67"/>
      <c r="B385" s="67"/>
      <c r="C385" s="67"/>
      <c r="D385" s="67"/>
      <c r="E385" s="67"/>
      <c r="F385" s="67"/>
      <c r="G385" s="67"/>
      <c r="H385" s="67"/>
      <c r="I385" s="67"/>
    </row>
    <row r="386" ht="13.5" customHeight="1">
      <c r="A386" s="67"/>
      <c r="B386" s="67"/>
      <c r="C386" s="67"/>
      <c r="D386" s="67"/>
      <c r="E386" s="67"/>
      <c r="F386" s="67"/>
      <c r="G386" s="67"/>
      <c r="H386" s="67"/>
      <c r="I386" s="67"/>
    </row>
    <row r="387" ht="13.5" customHeight="1">
      <c r="A387" s="67"/>
      <c r="B387" s="67"/>
      <c r="C387" s="67"/>
      <c r="D387" s="67"/>
      <c r="E387" s="67"/>
      <c r="F387" s="67"/>
      <c r="G387" s="67"/>
      <c r="H387" s="67"/>
      <c r="I387" s="67"/>
    </row>
    <row r="388" ht="13.5" customHeight="1">
      <c r="A388" s="67"/>
      <c r="B388" s="67"/>
      <c r="C388" s="67"/>
      <c r="D388" s="67"/>
      <c r="E388" s="67"/>
      <c r="F388" s="67"/>
      <c r="G388" s="67"/>
      <c r="H388" s="67"/>
      <c r="I388" s="67"/>
    </row>
    <row r="389" ht="13.5" customHeight="1">
      <c r="A389" s="67"/>
      <c r="B389" s="67"/>
      <c r="C389" s="67"/>
      <c r="D389" s="67"/>
      <c r="E389" s="67"/>
      <c r="F389" s="67"/>
      <c r="G389" s="67"/>
      <c r="H389" s="67"/>
      <c r="I389" s="67"/>
    </row>
    <row r="390" ht="13.5" customHeight="1">
      <c r="A390" s="67"/>
      <c r="B390" s="67"/>
      <c r="C390" s="67"/>
      <c r="D390" s="67"/>
      <c r="E390" s="67"/>
      <c r="F390" s="67"/>
      <c r="G390" s="67"/>
      <c r="H390" s="67"/>
      <c r="I390" s="67"/>
    </row>
    <row r="391" ht="13.5" customHeight="1">
      <c r="A391" s="67"/>
      <c r="B391" s="67"/>
      <c r="C391" s="67"/>
      <c r="D391" s="67"/>
      <c r="E391" s="67"/>
      <c r="F391" s="67"/>
      <c r="G391" s="67"/>
      <c r="H391" s="67"/>
      <c r="I391" s="67"/>
    </row>
    <row r="392" ht="13.5" customHeight="1">
      <c r="A392" s="67"/>
      <c r="B392" s="67"/>
      <c r="C392" s="67"/>
      <c r="D392" s="67"/>
      <c r="E392" s="67"/>
      <c r="F392" s="67"/>
      <c r="G392" s="67"/>
      <c r="H392" s="67"/>
      <c r="I392" s="67"/>
    </row>
    <row r="393" ht="13.5" customHeight="1">
      <c r="A393" s="67"/>
      <c r="B393" s="67"/>
      <c r="C393" s="67"/>
      <c r="D393" s="67"/>
      <c r="E393" s="67"/>
      <c r="F393" s="67"/>
      <c r="G393" s="67"/>
      <c r="H393" s="67"/>
      <c r="I393" s="67"/>
    </row>
    <row r="394" ht="13.5" customHeight="1">
      <c r="A394" s="67"/>
      <c r="B394" s="67"/>
      <c r="C394" s="67"/>
      <c r="D394" s="67"/>
      <c r="E394" s="67"/>
      <c r="F394" s="67"/>
      <c r="G394" s="67"/>
      <c r="H394" s="67"/>
      <c r="I394" s="67"/>
    </row>
    <row r="395" ht="13.5" customHeight="1">
      <c r="A395" s="67"/>
      <c r="B395" s="67"/>
      <c r="C395" s="67"/>
      <c r="D395" s="67"/>
      <c r="E395" s="67"/>
      <c r="F395" s="67"/>
      <c r="G395" s="67"/>
      <c r="H395" s="67"/>
      <c r="I395" s="67"/>
    </row>
    <row r="396" ht="13.5" customHeight="1">
      <c r="A396" s="67"/>
      <c r="B396" s="67"/>
      <c r="C396" s="67"/>
      <c r="D396" s="67"/>
      <c r="E396" s="67"/>
      <c r="F396" s="67"/>
      <c r="G396" s="67"/>
      <c r="H396" s="67"/>
      <c r="I396" s="67"/>
    </row>
    <row r="397" ht="13.5" customHeight="1">
      <c r="A397" s="67"/>
      <c r="B397" s="67"/>
      <c r="C397" s="67"/>
      <c r="D397" s="67"/>
      <c r="E397" s="67"/>
      <c r="F397" s="67"/>
      <c r="G397" s="67"/>
      <c r="H397" s="67"/>
      <c r="I397" s="67"/>
    </row>
    <row r="398" ht="13.5" customHeight="1">
      <c r="A398" s="67"/>
      <c r="B398" s="67"/>
      <c r="C398" s="67"/>
      <c r="D398" s="67"/>
      <c r="E398" s="67"/>
      <c r="F398" s="67"/>
      <c r="G398" s="67"/>
      <c r="H398" s="67"/>
      <c r="I398" s="67"/>
    </row>
    <row r="399" ht="13.5" customHeight="1">
      <c r="A399" s="67"/>
      <c r="B399" s="67"/>
      <c r="C399" s="67"/>
      <c r="D399" s="67"/>
      <c r="E399" s="67"/>
      <c r="F399" s="67"/>
      <c r="G399" s="67"/>
      <c r="H399" s="67"/>
      <c r="I399" s="67"/>
    </row>
    <row r="400" ht="13.5" customHeight="1">
      <c r="A400" s="67"/>
      <c r="B400" s="67"/>
      <c r="C400" s="67"/>
      <c r="D400" s="67"/>
      <c r="E400" s="67"/>
      <c r="F400" s="67"/>
      <c r="G400" s="67"/>
      <c r="H400" s="67"/>
      <c r="I400" s="67"/>
    </row>
    <row r="401" ht="13.5" customHeight="1">
      <c r="A401" s="67"/>
      <c r="B401" s="67"/>
      <c r="C401" s="67"/>
      <c r="D401" s="67"/>
      <c r="E401" s="67"/>
      <c r="F401" s="67"/>
      <c r="G401" s="67"/>
      <c r="H401" s="67"/>
      <c r="I401" s="67"/>
    </row>
    <row r="402" ht="13.5" customHeight="1">
      <c r="A402" s="67"/>
      <c r="B402" s="67"/>
      <c r="C402" s="67"/>
      <c r="D402" s="67"/>
      <c r="E402" s="67"/>
      <c r="F402" s="67"/>
      <c r="G402" s="67"/>
      <c r="H402" s="67"/>
      <c r="I402" s="67"/>
    </row>
    <row r="403" ht="13.5" customHeight="1">
      <c r="A403" s="67"/>
      <c r="B403" s="67"/>
      <c r="C403" s="67"/>
      <c r="D403" s="67"/>
      <c r="E403" s="67"/>
      <c r="F403" s="67"/>
      <c r="G403" s="67"/>
      <c r="H403" s="67"/>
      <c r="I403" s="67"/>
    </row>
    <row r="404" ht="13.5" customHeight="1">
      <c r="A404" s="67"/>
      <c r="B404" s="67"/>
      <c r="C404" s="67"/>
      <c r="D404" s="67"/>
      <c r="E404" s="67"/>
      <c r="F404" s="67"/>
      <c r="G404" s="67"/>
      <c r="H404" s="67"/>
      <c r="I404" s="67"/>
    </row>
    <row r="405" ht="13.5" customHeight="1">
      <c r="A405" s="67"/>
      <c r="B405" s="67"/>
      <c r="C405" s="67"/>
      <c r="D405" s="67"/>
      <c r="E405" s="67"/>
      <c r="F405" s="67"/>
      <c r="G405" s="67"/>
      <c r="H405" s="67"/>
      <c r="I405" s="67"/>
    </row>
    <row r="406" ht="13.5" customHeight="1">
      <c r="A406" s="67"/>
      <c r="B406" s="67"/>
      <c r="C406" s="67"/>
      <c r="D406" s="67"/>
      <c r="E406" s="67"/>
      <c r="F406" s="67"/>
      <c r="G406" s="67"/>
      <c r="H406" s="67"/>
      <c r="I406" s="67"/>
    </row>
    <row r="407" ht="13.5" customHeight="1">
      <c r="A407" s="67"/>
      <c r="B407" s="67"/>
      <c r="C407" s="67"/>
      <c r="D407" s="67"/>
      <c r="E407" s="67"/>
      <c r="F407" s="67"/>
      <c r="G407" s="67"/>
      <c r="H407" s="67"/>
      <c r="I407" s="67"/>
    </row>
    <row r="408" ht="13.5" customHeight="1">
      <c r="A408" s="67"/>
      <c r="B408" s="67"/>
      <c r="C408" s="67"/>
      <c r="D408" s="67"/>
      <c r="E408" s="67"/>
      <c r="F408" s="67"/>
      <c r="G408" s="67"/>
      <c r="H408" s="67"/>
      <c r="I408" s="67"/>
    </row>
    <row r="409" ht="13.5" customHeight="1">
      <c r="A409" s="67"/>
      <c r="B409" s="67"/>
      <c r="C409" s="67"/>
      <c r="D409" s="67"/>
      <c r="E409" s="67"/>
      <c r="F409" s="67"/>
      <c r="G409" s="67"/>
      <c r="H409" s="67"/>
      <c r="I409" s="67"/>
    </row>
    <row r="410" ht="13.5" customHeight="1">
      <c r="A410" s="67"/>
      <c r="B410" s="67"/>
      <c r="C410" s="67"/>
      <c r="D410" s="67"/>
      <c r="E410" s="67"/>
      <c r="F410" s="67"/>
      <c r="G410" s="67"/>
      <c r="H410" s="67"/>
      <c r="I410" s="67"/>
    </row>
    <row r="411" ht="13.5" customHeight="1">
      <c r="A411" s="67"/>
      <c r="B411" s="67"/>
      <c r="C411" s="67"/>
      <c r="D411" s="67"/>
      <c r="E411" s="67"/>
      <c r="F411" s="67"/>
      <c r="G411" s="67"/>
      <c r="H411" s="67"/>
      <c r="I411" s="67"/>
    </row>
    <row r="412" ht="13.5" customHeight="1">
      <c r="A412" s="67"/>
      <c r="B412" s="67"/>
      <c r="C412" s="67"/>
      <c r="D412" s="67"/>
      <c r="E412" s="67"/>
      <c r="F412" s="67"/>
      <c r="G412" s="67"/>
      <c r="H412" s="67"/>
      <c r="I412" s="67"/>
    </row>
    <row r="413" ht="13.5" customHeight="1">
      <c r="A413" s="67"/>
      <c r="B413" s="67"/>
      <c r="C413" s="67"/>
      <c r="D413" s="67"/>
      <c r="E413" s="67"/>
      <c r="F413" s="67"/>
      <c r="G413" s="67"/>
      <c r="H413" s="67"/>
      <c r="I413" s="67"/>
    </row>
    <row r="414" ht="13.5" customHeight="1">
      <c r="A414" s="67"/>
      <c r="B414" s="67"/>
      <c r="C414" s="67"/>
      <c r="D414" s="67"/>
      <c r="E414" s="67"/>
      <c r="F414" s="67"/>
      <c r="G414" s="67"/>
      <c r="H414" s="67"/>
      <c r="I414" s="67"/>
    </row>
    <row r="415" ht="13.5" customHeight="1">
      <c r="A415" s="67"/>
      <c r="B415" s="67"/>
      <c r="C415" s="67"/>
      <c r="D415" s="67"/>
      <c r="E415" s="67"/>
      <c r="F415" s="67"/>
      <c r="G415" s="67"/>
      <c r="H415" s="67"/>
      <c r="I415" s="67"/>
    </row>
    <row r="416" ht="13.5" customHeight="1">
      <c r="A416" s="67"/>
      <c r="B416" s="67"/>
      <c r="C416" s="67"/>
      <c r="D416" s="67"/>
      <c r="E416" s="67"/>
      <c r="F416" s="67"/>
      <c r="G416" s="67"/>
      <c r="H416" s="67"/>
      <c r="I416" s="67"/>
    </row>
    <row r="417" ht="13.5" customHeight="1">
      <c r="A417" s="67"/>
      <c r="B417" s="67"/>
      <c r="C417" s="67"/>
      <c r="D417" s="67"/>
      <c r="E417" s="67"/>
      <c r="F417" s="67"/>
      <c r="G417" s="67"/>
      <c r="H417" s="67"/>
      <c r="I417" s="67"/>
    </row>
    <row r="418" ht="13.5" customHeight="1">
      <c r="A418" s="67"/>
      <c r="B418" s="67"/>
      <c r="C418" s="67"/>
      <c r="D418" s="67"/>
      <c r="E418" s="67"/>
      <c r="F418" s="67"/>
      <c r="G418" s="67"/>
      <c r="H418" s="67"/>
      <c r="I418" s="67"/>
    </row>
    <row r="419" ht="13.5" customHeight="1">
      <c r="A419" s="67"/>
      <c r="B419" s="67"/>
      <c r="C419" s="67"/>
      <c r="D419" s="67"/>
      <c r="E419" s="67"/>
      <c r="F419" s="67"/>
      <c r="G419" s="67"/>
      <c r="H419" s="67"/>
      <c r="I419" s="67"/>
    </row>
    <row r="420" ht="13.5" customHeight="1">
      <c r="A420" s="67"/>
      <c r="B420" s="67"/>
      <c r="C420" s="67"/>
      <c r="D420" s="67"/>
      <c r="E420" s="67"/>
      <c r="F420" s="67"/>
      <c r="G420" s="67"/>
      <c r="H420" s="67"/>
      <c r="I420" s="67"/>
    </row>
    <row r="421" ht="13.5" customHeight="1">
      <c r="A421" s="67"/>
      <c r="B421" s="67"/>
      <c r="C421" s="67"/>
      <c r="D421" s="67"/>
      <c r="E421" s="67"/>
      <c r="F421" s="67"/>
      <c r="G421" s="67"/>
      <c r="H421" s="67"/>
      <c r="I421" s="67"/>
    </row>
    <row r="422" ht="13.5" customHeight="1">
      <c r="A422" s="67"/>
      <c r="B422" s="67"/>
      <c r="C422" s="67"/>
      <c r="D422" s="67"/>
      <c r="E422" s="67"/>
      <c r="F422" s="67"/>
      <c r="G422" s="67"/>
      <c r="H422" s="67"/>
      <c r="I422" s="67"/>
    </row>
    <row r="423" ht="13.5" customHeight="1">
      <c r="A423" s="67"/>
      <c r="B423" s="67"/>
      <c r="C423" s="67"/>
      <c r="D423" s="67"/>
      <c r="E423" s="67"/>
      <c r="F423" s="67"/>
      <c r="G423" s="67"/>
      <c r="H423" s="67"/>
      <c r="I423" s="67"/>
    </row>
    <row r="424" ht="13.5" customHeight="1">
      <c r="A424" s="67"/>
      <c r="B424" s="67"/>
      <c r="C424" s="67"/>
      <c r="D424" s="67"/>
      <c r="E424" s="67"/>
      <c r="F424" s="67"/>
      <c r="G424" s="67"/>
      <c r="H424" s="67"/>
      <c r="I424" s="67"/>
    </row>
    <row r="425" ht="13.5" customHeight="1">
      <c r="A425" s="67"/>
      <c r="B425" s="67"/>
      <c r="C425" s="67"/>
      <c r="D425" s="67"/>
      <c r="E425" s="67"/>
      <c r="F425" s="67"/>
      <c r="G425" s="67"/>
      <c r="H425" s="67"/>
      <c r="I425" s="67"/>
    </row>
    <row r="426" ht="13.5" customHeight="1">
      <c r="A426" s="67"/>
      <c r="B426" s="67"/>
      <c r="C426" s="67"/>
      <c r="D426" s="67"/>
      <c r="E426" s="67"/>
      <c r="F426" s="67"/>
      <c r="G426" s="67"/>
      <c r="H426" s="67"/>
      <c r="I426" s="67"/>
    </row>
    <row r="427" ht="13.5" customHeight="1">
      <c r="A427" s="67"/>
      <c r="B427" s="67"/>
      <c r="C427" s="67"/>
      <c r="D427" s="67"/>
      <c r="E427" s="67"/>
      <c r="F427" s="67"/>
      <c r="G427" s="67"/>
      <c r="H427" s="67"/>
      <c r="I427" s="67"/>
    </row>
    <row r="428" ht="13.5" customHeight="1">
      <c r="A428" s="67"/>
      <c r="B428" s="67"/>
      <c r="C428" s="67"/>
      <c r="D428" s="67"/>
      <c r="E428" s="67"/>
      <c r="F428" s="67"/>
      <c r="G428" s="67"/>
      <c r="H428" s="67"/>
      <c r="I428" s="67"/>
    </row>
    <row r="429" ht="13.5" customHeight="1">
      <c r="A429" s="67"/>
      <c r="B429" s="67"/>
      <c r="C429" s="67"/>
      <c r="D429" s="67"/>
      <c r="E429" s="67"/>
      <c r="F429" s="67"/>
      <c r="G429" s="67"/>
      <c r="H429" s="67"/>
      <c r="I429" s="67"/>
    </row>
    <row r="430" ht="13.5" customHeight="1">
      <c r="A430" s="67"/>
      <c r="B430" s="67"/>
      <c r="C430" s="67"/>
      <c r="D430" s="67"/>
      <c r="E430" s="67"/>
      <c r="F430" s="67"/>
      <c r="G430" s="67"/>
      <c r="H430" s="67"/>
      <c r="I430" s="67"/>
    </row>
    <row r="431" ht="13.5" customHeight="1">
      <c r="A431" s="67"/>
      <c r="B431" s="67"/>
      <c r="C431" s="67"/>
      <c r="D431" s="67"/>
      <c r="E431" s="67"/>
      <c r="F431" s="67"/>
      <c r="G431" s="67"/>
      <c r="H431" s="67"/>
      <c r="I431" s="67"/>
    </row>
    <row r="432" ht="13.5" customHeight="1">
      <c r="A432" s="67"/>
      <c r="B432" s="67"/>
      <c r="C432" s="67"/>
      <c r="D432" s="67"/>
      <c r="E432" s="67"/>
      <c r="F432" s="67"/>
      <c r="G432" s="67"/>
      <c r="H432" s="67"/>
      <c r="I432" s="67"/>
    </row>
    <row r="433" ht="13.5" customHeight="1">
      <c r="A433" s="67"/>
      <c r="B433" s="67"/>
      <c r="C433" s="67"/>
      <c r="D433" s="67"/>
      <c r="E433" s="67"/>
      <c r="F433" s="67"/>
      <c r="G433" s="67"/>
      <c r="H433" s="67"/>
      <c r="I433" s="67"/>
    </row>
    <row r="434" ht="13.5" customHeight="1">
      <c r="A434" s="67"/>
      <c r="B434" s="67"/>
      <c r="C434" s="67"/>
      <c r="D434" s="67"/>
      <c r="E434" s="67"/>
      <c r="F434" s="67"/>
      <c r="G434" s="67"/>
      <c r="H434" s="67"/>
      <c r="I434" s="67"/>
    </row>
    <row r="435" ht="13.5" customHeight="1">
      <c r="A435" s="67"/>
      <c r="B435" s="67"/>
      <c r="C435" s="67"/>
      <c r="D435" s="67"/>
      <c r="E435" s="67"/>
      <c r="F435" s="67"/>
      <c r="G435" s="67"/>
      <c r="H435" s="67"/>
      <c r="I435" s="67"/>
    </row>
    <row r="436" ht="13.5" customHeight="1">
      <c r="A436" s="67"/>
      <c r="B436" s="67"/>
      <c r="C436" s="67"/>
      <c r="D436" s="67"/>
      <c r="E436" s="67"/>
      <c r="F436" s="67"/>
      <c r="G436" s="67"/>
      <c r="H436" s="67"/>
      <c r="I436" s="67"/>
    </row>
    <row r="437" ht="13.5" customHeight="1">
      <c r="A437" s="67"/>
      <c r="B437" s="67"/>
      <c r="C437" s="67"/>
      <c r="D437" s="67"/>
      <c r="E437" s="67"/>
      <c r="F437" s="67"/>
      <c r="G437" s="67"/>
      <c r="H437" s="67"/>
      <c r="I437" s="67"/>
    </row>
    <row r="438" ht="13.5" customHeight="1">
      <c r="A438" s="67"/>
      <c r="B438" s="67"/>
      <c r="C438" s="67"/>
      <c r="D438" s="67"/>
      <c r="E438" s="67"/>
      <c r="F438" s="67"/>
      <c r="G438" s="67"/>
      <c r="H438" s="67"/>
      <c r="I438" s="67"/>
    </row>
    <row r="439" ht="13.5" customHeight="1">
      <c r="A439" s="67"/>
      <c r="B439" s="67"/>
      <c r="C439" s="67"/>
      <c r="D439" s="67"/>
      <c r="E439" s="67"/>
      <c r="F439" s="67"/>
      <c r="G439" s="67"/>
      <c r="H439" s="67"/>
      <c r="I439" s="67"/>
    </row>
    <row r="440" ht="13.5" customHeight="1">
      <c r="A440" s="67"/>
      <c r="B440" s="67"/>
      <c r="C440" s="67"/>
      <c r="D440" s="67"/>
      <c r="E440" s="67"/>
      <c r="F440" s="67"/>
      <c r="G440" s="67"/>
      <c r="H440" s="67"/>
      <c r="I440" s="67"/>
    </row>
    <row r="441" ht="13.5" customHeight="1">
      <c r="A441" s="67"/>
      <c r="B441" s="67"/>
      <c r="C441" s="67"/>
      <c r="D441" s="67"/>
      <c r="E441" s="67"/>
      <c r="F441" s="67"/>
      <c r="G441" s="67"/>
      <c r="H441" s="67"/>
      <c r="I441" s="67"/>
    </row>
    <row r="442" ht="13.5" customHeight="1">
      <c r="A442" s="67"/>
      <c r="B442" s="67"/>
      <c r="C442" s="67"/>
      <c r="D442" s="67"/>
      <c r="E442" s="67"/>
      <c r="F442" s="67"/>
      <c r="G442" s="67"/>
      <c r="H442" s="67"/>
      <c r="I442" s="67"/>
    </row>
    <row r="443" ht="13.5" customHeight="1">
      <c r="A443" s="67"/>
      <c r="B443" s="67"/>
      <c r="C443" s="67"/>
      <c r="D443" s="67"/>
      <c r="E443" s="67"/>
      <c r="F443" s="67"/>
      <c r="G443" s="67"/>
      <c r="H443" s="67"/>
      <c r="I443" s="67"/>
    </row>
    <row r="444" ht="13.5" customHeight="1">
      <c r="A444" s="67"/>
      <c r="B444" s="67"/>
      <c r="C444" s="67"/>
      <c r="D444" s="67"/>
      <c r="E444" s="67"/>
      <c r="F444" s="67"/>
      <c r="G444" s="67"/>
      <c r="H444" s="67"/>
      <c r="I444" s="67"/>
    </row>
    <row r="445" ht="13.5" customHeight="1">
      <c r="A445" s="67"/>
      <c r="B445" s="67"/>
      <c r="C445" s="67"/>
      <c r="D445" s="67"/>
      <c r="E445" s="67"/>
      <c r="F445" s="67"/>
      <c r="G445" s="67"/>
      <c r="H445" s="67"/>
      <c r="I445" s="67"/>
    </row>
    <row r="446" ht="13.5" customHeight="1">
      <c r="A446" s="67"/>
      <c r="B446" s="67"/>
      <c r="C446" s="67"/>
      <c r="D446" s="67"/>
      <c r="E446" s="67"/>
      <c r="F446" s="67"/>
      <c r="G446" s="67"/>
      <c r="H446" s="67"/>
      <c r="I446" s="67"/>
    </row>
    <row r="447" ht="13.5" customHeight="1">
      <c r="A447" s="67"/>
      <c r="B447" s="67"/>
      <c r="C447" s="67"/>
      <c r="D447" s="67"/>
      <c r="E447" s="67"/>
      <c r="F447" s="67"/>
      <c r="G447" s="67"/>
      <c r="H447" s="67"/>
      <c r="I447" s="67"/>
    </row>
    <row r="448" ht="13.5" customHeight="1">
      <c r="A448" s="67"/>
      <c r="B448" s="67"/>
      <c r="C448" s="67"/>
      <c r="D448" s="67"/>
      <c r="E448" s="67"/>
      <c r="F448" s="67"/>
      <c r="G448" s="67"/>
      <c r="H448" s="67"/>
      <c r="I448" s="67"/>
    </row>
    <row r="449" ht="13.5" customHeight="1">
      <c r="A449" s="67"/>
      <c r="B449" s="67"/>
      <c r="C449" s="67"/>
      <c r="D449" s="67"/>
      <c r="E449" s="67"/>
      <c r="F449" s="67"/>
      <c r="G449" s="67"/>
      <c r="H449" s="67"/>
      <c r="I449" s="67"/>
    </row>
    <row r="450" ht="13.5" customHeight="1">
      <c r="A450" s="67"/>
      <c r="B450" s="67"/>
      <c r="C450" s="67"/>
      <c r="D450" s="67"/>
      <c r="E450" s="67"/>
      <c r="F450" s="67"/>
      <c r="G450" s="67"/>
      <c r="H450" s="67"/>
      <c r="I450" s="67"/>
    </row>
    <row r="451" ht="13.5" customHeight="1">
      <c r="A451" s="67"/>
      <c r="B451" s="67"/>
      <c r="C451" s="67"/>
      <c r="D451" s="67"/>
      <c r="E451" s="67"/>
      <c r="F451" s="67"/>
      <c r="G451" s="67"/>
      <c r="H451" s="67"/>
      <c r="I451" s="67"/>
    </row>
    <row r="452" ht="13.5" customHeight="1">
      <c r="A452" s="67"/>
      <c r="B452" s="67"/>
      <c r="C452" s="67"/>
      <c r="D452" s="67"/>
      <c r="E452" s="67"/>
      <c r="F452" s="67"/>
      <c r="G452" s="67"/>
      <c r="H452" s="67"/>
      <c r="I452" s="67"/>
    </row>
    <row r="453" ht="13.5" customHeight="1">
      <c r="A453" s="67"/>
      <c r="B453" s="67"/>
      <c r="C453" s="67"/>
      <c r="D453" s="67"/>
      <c r="E453" s="67"/>
      <c r="F453" s="67"/>
      <c r="G453" s="67"/>
      <c r="H453" s="67"/>
      <c r="I453" s="67"/>
    </row>
    <row r="454" ht="13.5" customHeight="1">
      <c r="A454" s="67"/>
      <c r="B454" s="67"/>
      <c r="C454" s="67"/>
      <c r="D454" s="67"/>
      <c r="E454" s="67"/>
      <c r="F454" s="67"/>
      <c r="G454" s="67"/>
      <c r="H454" s="67"/>
      <c r="I454" s="67"/>
    </row>
    <row r="455" ht="13.5" customHeight="1">
      <c r="A455" s="67"/>
      <c r="B455" s="67"/>
      <c r="C455" s="67"/>
      <c r="D455" s="67"/>
      <c r="E455" s="67"/>
      <c r="F455" s="67"/>
      <c r="G455" s="67"/>
      <c r="H455" s="67"/>
      <c r="I455" s="67"/>
    </row>
    <row r="456" ht="13.5" customHeight="1">
      <c r="A456" s="67"/>
      <c r="B456" s="67"/>
      <c r="C456" s="67"/>
      <c r="D456" s="67"/>
      <c r="E456" s="67"/>
      <c r="F456" s="67"/>
      <c r="G456" s="67"/>
      <c r="H456" s="67"/>
      <c r="I456" s="67"/>
    </row>
    <row r="457" ht="13.5" customHeight="1">
      <c r="A457" s="67"/>
      <c r="B457" s="67"/>
      <c r="C457" s="67"/>
      <c r="D457" s="67"/>
      <c r="E457" s="67"/>
      <c r="F457" s="67"/>
      <c r="G457" s="67"/>
      <c r="H457" s="67"/>
      <c r="I457" s="67"/>
    </row>
    <row r="458" ht="13.5" customHeight="1">
      <c r="A458" s="67"/>
      <c r="B458" s="67"/>
      <c r="C458" s="67"/>
      <c r="D458" s="67"/>
      <c r="E458" s="67"/>
      <c r="F458" s="67"/>
      <c r="G458" s="67"/>
      <c r="H458" s="67"/>
      <c r="I458" s="67"/>
    </row>
    <row r="459" ht="13.5" customHeight="1">
      <c r="A459" s="67"/>
      <c r="B459" s="67"/>
      <c r="C459" s="67"/>
      <c r="D459" s="67"/>
      <c r="E459" s="67"/>
      <c r="F459" s="67"/>
      <c r="G459" s="67"/>
      <c r="H459" s="67"/>
      <c r="I459" s="67"/>
    </row>
    <row r="460" ht="13.5" customHeight="1">
      <c r="A460" s="67"/>
      <c r="B460" s="67"/>
      <c r="C460" s="67"/>
      <c r="D460" s="67"/>
      <c r="E460" s="67"/>
      <c r="F460" s="67"/>
      <c r="G460" s="67"/>
      <c r="H460" s="67"/>
      <c r="I460" s="67"/>
    </row>
    <row r="461" ht="13.5" customHeight="1">
      <c r="A461" s="67"/>
      <c r="B461" s="67"/>
      <c r="C461" s="67"/>
      <c r="D461" s="67"/>
      <c r="E461" s="67"/>
      <c r="F461" s="67"/>
      <c r="G461" s="67"/>
      <c r="H461" s="67"/>
      <c r="I461" s="67"/>
    </row>
    <row r="462" ht="13.5" customHeight="1">
      <c r="A462" s="67"/>
      <c r="B462" s="67"/>
      <c r="C462" s="67"/>
      <c r="D462" s="67"/>
      <c r="E462" s="67"/>
      <c r="F462" s="67"/>
      <c r="G462" s="67"/>
      <c r="H462" s="67"/>
      <c r="I462" s="67"/>
    </row>
    <row r="463" ht="13.5" customHeight="1">
      <c r="A463" s="67"/>
      <c r="B463" s="67"/>
      <c r="C463" s="67"/>
      <c r="D463" s="67"/>
      <c r="E463" s="67"/>
      <c r="F463" s="67"/>
      <c r="G463" s="67"/>
      <c r="H463" s="67"/>
      <c r="I463" s="67"/>
    </row>
    <row r="464" ht="13.5" customHeight="1">
      <c r="A464" s="67"/>
      <c r="B464" s="67"/>
      <c r="C464" s="67"/>
      <c r="D464" s="67"/>
      <c r="E464" s="67"/>
      <c r="F464" s="67"/>
      <c r="G464" s="67"/>
      <c r="H464" s="67"/>
      <c r="I464" s="67"/>
    </row>
    <row r="465" ht="13.5" customHeight="1">
      <c r="A465" s="67"/>
      <c r="B465" s="67"/>
      <c r="C465" s="67"/>
      <c r="D465" s="67"/>
      <c r="E465" s="67"/>
      <c r="F465" s="67"/>
      <c r="G465" s="67"/>
      <c r="H465" s="67"/>
      <c r="I465" s="67"/>
    </row>
    <row r="466" ht="13.5" customHeight="1">
      <c r="A466" s="67"/>
      <c r="B466" s="67"/>
      <c r="C466" s="67"/>
      <c r="D466" s="67"/>
      <c r="E466" s="67"/>
      <c r="F466" s="67"/>
      <c r="G466" s="67"/>
      <c r="H466" s="67"/>
      <c r="I466" s="67"/>
    </row>
    <row r="467" ht="13.5" customHeight="1">
      <c r="A467" s="67"/>
      <c r="B467" s="67"/>
      <c r="C467" s="67"/>
      <c r="D467" s="67"/>
      <c r="E467" s="67"/>
      <c r="F467" s="67"/>
      <c r="G467" s="67"/>
      <c r="H467" s="67"/>
      <c r="I467" s="67"/>
    </row>
    <row r="468" ht="13.5" customHeight="1">
      <c r="A468" s="67"/>
      <c r="B468" s="67"/>
      <c r="C468" s="67"/>
      <c r="D468" s="67"/>
      <c r="E468" s="67"/>
      <c r="F468" s="67"/>
      <c r="G468" s="67"/>
      <c r="H468" s="67"/>
      <c r="I468" s="67"/>
    </row>
    <row r="469" ht="13.5" customHeight="1">
      <c r="A469" s="67"/>
      <c r="B469" s="67"/>
      <c r="C469" s="67"/>
      <c r="D469" s="67"/>
      <c r="E469" s="67"/>
      <c r="F469" s="67"/>
      <c r="G469" s="67"/>
      <c r="H469" s="67"/>
      <c r="I469" s="67"/>
    </row>
    <row r="470" ht="13.5" customHeight="1">
      <c r="A470" s="67"/>
      <c r="B470" s="67"/>
      <c r="C470" s="67"/>
      <c r="D470" s="67"/>
      <c r="E470" s="67"/>
      <c r="F470" s="67"/>
      <c r="G470" s="67"/>
      <c r="H470" s="67"/>
      <c r="I470" s="67"/>
    </row>
    <row r="471" ht="13.5" customHeight="1">
      <c r="A471" s="67"/>
      <c r="B471" s="67"/>
      <c r="C471" s="67"/>
      <c r="D471" s="67"/>
      <c r="E471" s="67"/>
      <c r="F471" s="67"/>
      <c r="G471" s="67"/>
      <c r="H471" s="67"/>
      <c r="I471" s="67"/>
    </row>
    <row r="472" ht="13.5" customHeight="1">
      <c r="A472" s="67"/>
      <c r="B472" s="67"/>
      <c r="C472" s="67"/>
      <c r="D472" s="67"/>
      <c r="E472" s="67"/>
      <c r="F472" s="67"/>
      <c r="G472" s="67"/>
      <c r="H472" s="67"/>
      <c r="I472" s="67"/>
    </row>
    <row r="473" ht="13.5" customHeight="1">
      <c r="A473" s="67"/>
      <c r="B473" s="67"/>
      <c r="C473" s="67"/>
      <c r="D473" s="67"/>
      <c r="E473" s="67"/>
      <c r="F473" s="67"/>
      <c r="G473" s="67"/>
      <c r="H473" s="67"/>
      <c r="I473" s="67"/>
    </row>
    <row r="474" ht="13.5" customHeight="1">
      <c r="A474" s="67"/>
      <c r="B474" s="67"/>
      <c r="C474" s="67"/>
      <c r="D474" s="67"/>
      <c r="E474" s="67"/>
      <c r="F474" s="67"/>
      <c r="G474" s="67"/>
      <c r="H474" s="67"/>
      <c r="I474" s="67"/>
    </row>
    <row r="475" ht="13.5" customHeight="1">
      <c r="A475" s="67"/>
      <c r="B475" s="67"/>
      <c r="C475" s="67"/>
      <c r="D475" s="67"/>
      <c r="E475" s="67"/>
      <c r="F475" s="67"/>
      <c r="G475" s="67"/>
      <c r="H475" s="67"/>
      <c r="I475" s="67"/>
    </row>
    <row r="476" ht="13.5" customHeight="1">
      <c r="A476" s="67"/>
      <c r="B476" s="67"/>
      <c r="C476" s="67"/>
      <c r="D476" s="67"/>
      <c r="E476" s="67"/>
      <c r="F476" s="67"/>
      <c r="G476" s="67"/>
      <c r="H476" s="67"/>
      <c r="I476" s="67"/>
    </row>
    <row r="477" ht="13.5" customHeight="1">
      <c r="A477" s="67"/>
      <c r="B477" s="67"/>
      <c r="C477" s="67"/>
      <c r="D477" s="67"/>
      <c r="E477" s="67"/>
      <c r="F477" s="67"/>
      <c r="G477" s="67"/>
      <c r="H477" s="67"/>
      <c r="I477" s="67"/>
    </row>
    <row r="478" ht="13.5" customHeight="1">
      <c r="A478" s="67"/>
      <c r="B478" s="67"/>
      <c r="C478" s="67"/>
      <c r="D478" s="67"/>
      <c r="E478" s="67"/>
      <c r="F478" s="67"/>
      <c r="G478" s="67"/>
      <c r="H478" s="67"/>
      <c r="I478" s="67"/>
    </row>
    <row r="479" ht="13.5" customHeight="1">
      <c r="A479" s="67"/>
      <c r="B479" s="67"/>
      <c r="C479" s="67"/>
      <c r="D479" s="67"/>
      <c r="E479" s="67"/>
      <c r="F479" s="67"/>
      <c r="G479" s="67"/>
      <c r="H479" s="67"/>
      <c r="I479" s="67"/>
    </row>
    <row r="480" ht="13.5" customHeight="1">
      <c r="A480" s="67"/>
      <c r="B480" s="67"/>
      <c r="C480" s="67"/>
      <c r="D480" s="67"/>
      <c r="E480" s="67"/>
      <c r="F480" s="67"/>
      <c r="G480" s="67"/>
      <c r="H480" s="67"/>
      <c r="I480" s="67"/>
    </row>
    <row r="481" ht="13.5" customHeight="1">
      <c r="A481" s="67"/>
      <c r="B481" s="67"/>
      <c r="C481" s="67"/>
      <c r="D481" s="67"/>
      <c r="E481" s="67"/>
      <c r="F481" s="67"/>
      <c r="G481" s="67"/>
      <c r="H481" s="67"/>
      <c r="I481" s="67"/>
    </row>
    <row r="482" ht="13.5" customHeight="1">
      <c r="A482" s="67"/>
      <c r="B482" s="67"/>
      <c r="C482" s="67"/>
      <c r="D482" s="67"/>
      <c r="E482" s="67"/>
      <c r="F482" s="67"/>
      <c r="G482" s="67"/>
      <c r="H482" s="67"/>
      <c r="I482" s="67"/>
    </row>
    <row r="483" ht="13.5" customHeight="1">
      <c r="A483" s="67"/>
      <c r="B483" s="67"/>
      <c r="C483" s="67"/>
      <c r="D483" s="67"/>
      <c r="E483" s="67"/>
      <c r="F483" s="67"/>
      <c r="G483" s="67"/>
      <c r="H483" s="67"/>
      <c r="I483" s="67"/>
    </row>
    <row r="484" ht="13.5" customHeight="1">
      <c r="A484" s="67"/>
      <c r="B484" s="67"/>
      <c r="C484" s="67"/>
      <c r="D484" s="67"/>
      <c r="E484" s="67"/>
      <c r="F484" s="67"/>
      <c r="G484" s="67"/>
      <c r="H484" s="67"/>
      <c r="I484" s="67"/>
    </row>
    <row r="485" ht="13.5" customHeight="1">
      <c r="A485" s="67"/>
      <c r="B485" s="67"/>
      <c r="C485" s="67"/>
      <c r="D485" s="67"/>
      <c r="E485" s="67"/>
      <c r="F485" s="67"/>
      <c r="G485" s="67"/>
      <c r="H485" s="67"/>
      <c r="I485" s="67"/>
    </row>
    <row r="486" ht="13.5" customHeight="1">
      <c r="A486" s="67"/>
      <c r="B486" s="67"/>
      <c r="C486" s="67"/>
      <c r="D486" s="67"/>
      <c r="E486" s="67"/>
      <c r="F486" s="67"/>
      <c r="G486" s="67"/>
      <c r="H486" s="67"/>
      <c r="I486" s="67"/>
    </row>
    <row r="487" ht="13.5" customHeight="1">
      <c r="A487" s="67"/>
      <c r="B487" s="67"/>
      <c r="C487" s="67"/>
      <c r="D487" s="67"/>
      <c r="E487" s="67"/>
      <c r="F487" s="67"/>
      <c r="G487" s="67"/>
      <c r="H487" s="67"/>
      <c r="I487" s="67"/>
    </row>
    <row r="488" ht="13.5" customHeight="1">
      <c r="A488" s="67"/>
      <c r="B488" s="67"/>
      <c r="C488" s="67"/>
      <c r="D488" s="67"/>
      <c r="E488" s="67"/>
      <c r="F488" s="67"/>
      <c r="G488" s="67"/>
      <c r="H488" s="67"/>
      <c r="I488" s="67"/>
    </row>
    <row r="489" ht="13.5" customHeight="1">
      <c r="A489" s="67"/>
      <c r="B489" s="67"/>
      <c r="C489" s="67"/>
      <c r="D489" s="67"/>
      <c r="E489" s="67"/>
      <c r="F489" s="67"/>
      <c r="G489" s="67"/>
      <c r="H489" s="67"/>
      <c r="I489" s="67"/>
    </row>
    <row r="490" ht="13.5" customHeight="1">
      <c r="A490" s="67"/>
      <c r="B490" s="67"/>
      <c r="C490" s="67"/>
      <c r="D490" s="67"/>
      <c r="E490" s="67"/>
      <c r="F490" s="67"/>
      <c r="G490" s="67"/>
      <c r="H490" s="67"/>
      <c r="I490" s="67"/>
    </row>
    <row r="491" ht="13.5" customHeight="1">
      <c r="A491" s="67"/>
      <c r="B491" s="67"/>
      <c r="C491" s="67"/>
      <c r="D491" s="67"/>
      <c r="E491" s="67"/>
      <c r="F491" s="67"/>
      <c r="G491" s="67"/>
      <c r="H491" s="67"/>
      <c r="I491" s="67"/>
    </row>
    <row r="492" ht="13.5" customHeight="1">
      <c r="A492" s="67"/>
      <c r="B492" s="67"/>
      <c r="C492" s="67"/>
      <c r="D492" s="67"/>
      <c r="E492" s="67"/>
      <c r="F492" s="67"/>
      <c r="G492" s="67"/>
      <c r="H492" s="67"/>
      <c r="I492" s="67"/>
    </row>
    <row r="493" ht="13.5" customHeight="1">
      <c r="A493" s="67"/>
      <c r="B493" s="67"/>
      <c r="C493" s="67"/>
      <c r="D493" s="67"/>
      <c r="E493" s="67"/>
      <c r="F493" s="67"/>
      <c r="G493" s="67"/>
      <c r="H493" s="67"/>
      <c r="I493" s="67"/>
    </row>
    <row r="494" ht="13.5" customHeight="1">
      <c r="A494" s="67"/>
      <c r="B494" s="67"/>
      <c r="C494" s="67"/>
      <c r="D494" s="67"/>
      <c r="E494" s="67"/>
      <c r="F494" s="67"/>
      <c r="G494" s="67"/>
      <c r="H494" s="67"/>
      <c r="I494" s="67"/>
    </row>
    <row r="495" ht="13.5" customHeight="1">
      <c r="A495" s="67"/>
      <c r="B495" s="67"/>
      <c r="C495" s="67"/>
      <c r="D495" s="67"/>
      <c r="E495" s="67"/>
      <c r="F495" s="67"/>
      <c r="G495" s="67"/>
      <c r="H495" s="67"/>
      <c r="I495" s="67"/>
    </row>
    <row r="496" ht="13.5" customHeight="1">
      <c r="A496" s="67"/>
      <c r="B496" s="67"/>
      <c r="C496" s="67"/>
      <c r="D496" s="67"/>
      <c r="E496" s="67"/>
      <c r="F496" s="67"/>
      <c r="G496" s="67"/>
      <c r="H496" s="67"/>
      <c r="I496" s="67"/>
    </row>
    <row r="497" ht="13.5" customHeight="1">
      <c r="A497" s="67"/>
      <c r="B497" s="67"/>
      <c r="C497" s="67"/>
      <c r="D497" s="67"/>
      <c r="E497" s="67"/>
      <c r="F497" s="67"/>
      <c r="G497" s="67"/>
      <c r="H497" s="67"/>
      <c r="I497" s="67"/>
    </row>
    <row r="498" ht="13.5" customHeight="1">
      <c r="A498" s="67"/>
      <c r="B498" s="67"/>
      <c r="C498" s="67"/>
      <c r="D498" s="67"/>
      <c r="E498" s="67"/>
      <c r="F498" s="67"/>
      <c r="G498" s="67"/>
      <c r="H498" s="67"/>
      <c r="I498" s="67"/>
    </row>
    <row r="499" ht="13.5" customHeight="1">
      <c r="A499" s="67"/>
      <c r="B499" s="67"/>
      <c r="C499" s="67"/>
      <c r="D499" s="67"/>
      <c r="E499" s="67"/>
      <c r="F499" s="67"/>
      <c r="G499" s="67"/>
      <c r="H499" s="67"/>
      <c r="I499" s="67"/>
    </row>
    <row r="500" ht="13.5" customHeight="1">
      <c r="A500" s="67"/>
      <c r="B500" s="67"/>
      <c r="C500" s="67"/>
      <c r="D500" s="67"/>
      <c r="E500" s="67"/>
      <c r="F500" s="67"/>
      <c r="G500" s="67"/>
      <c r="H500" s="67"/>
      <c r="I500" s="67"/>
    </row>
    <row r="501" ht="13.5" customHeight="1">
      <c r="A501" s="67"/>
      <c r="B501" s="67"/>
      <c r="C501" s="67"/>
      <c r="D501" s="67"/>
      <c r="E501" s="67"/>
      <c r="F501" s="67"/>
      <c r="G501" s="67"/>
      <c r="H501" s="67"/>
      <c r="I501" s="67"/>
    </row>
    <row r="502" ht="13.5" customHeight="1">
      <c r="A502" s="67"/>
      <c r="B502" s="67"/>
      <c r="C502" s="67"/>
      <c r="D502" s="67"/>
      <c r="E502" s="67"/>
      <c r="F502" s="67"/>
      <c r="G502" s="67"/>
      <c r="H502" s="67"/>
      <c r="I502" s="67"/>
    </row>
    <row r="503" ht="13.5" customHeight="1">
      <c r="A503" s="67"/>
      <c r="B503" s="67"/>
      <c r="C503" s="67"/>
      <c r="D503" s="67"/>
      <c r="E503" s="67"/>
      <c r="F503" s="67"/>
      <c r="G503" s="67"/>
      <c r="H503" s="67"/>
      <c r="I503" s="67"/>
    </row>
    <row r="504" ht="13.5" customHeight="1">
      <c r="A504" s="67"/>
      <c r="B504" s="67"/>
      <c r="C504" s="67"/>
      <c r="D504" s="67"/>
      <c r="E504" s="67"/>
      <c r="F504" s="67"/>
      <c r="G504" s="67"/>
      <c r="H504" s="67"/>
      <c r="I504" s="67"/>
    </row>
    <row r="505" ht="13.5" customHeight="1">
      <c r="A505" s="67"/>
      <c r="B505" s="67"/>
      <c r="C505" s="67"/>
      <c r="D505" s="67"/>
      <c r="E505" s="67"/>
      <c r="F505" s="67"/>
      <c r="G505" s="67"/>
      <c r="H505" s="67"/>
      <c r="I505" s="67"/>
    </row>
    <row r="506" ht="13.5" customHeight="1">
      <c r="A506" s="67"/>
      <c r="B506" s="67"/>
      <c r="C506" s="67"/>
      <c r="D506" s="67"/>
      <c r="E506" s="67"/>
      <c r="F506" s="67"/>
      <c r="G506" s="67"/>
      <c r="H506" s="67"/>
      <c r="I506" s="67"/>
    </row>
    <row r="507" ht="13.5" customHeight="1">
      <c r="A507" s="67"/>
      <c r="B507" s="67"/>
      <c r="C507" s="67"/>
      <c r="D507" s="67"/>
      <c r="E507" s="67"/>
      <c r="F507" s="67"/>
      <c r="G507" s="67"/>
      <c r="H507" s="67"/>
      <c r="I507" s="67"/>
    </row>
    <row r="508" ht="13.5" customHeight="1">
      <c r="A508" s="67"/>
      <c r="B508" s="67"/>
      <c r="C508" s="67"/>
      <c r="D508" s="67"/>
      <c r="E508" s="67"/>
      <c r="F508" s="67"/>
      <c r="G508" s="67"/>
      <c r="H508" s="67"/>
      <c r="I508" s="67"/>
    </row>
    <row r="509" ht="13.5" customHeight="1">
      <c r="A509" s="67"/>
      <c r="B509" s="67"/>
      <c r="C509" s="67"/>
      <c r="D509" s="67"/>
      <c r="E509" s="67"/>
      <c r="F509" s="67"/>
      <c r="G509" s="67"/>
      <c r="H509" s="67"/>
      <c r="I509" s="67"/>
    </row>
    <row r="510" ht="13.5" customHeight="1">
      <c r="A510" s="67"/>
      <c r="B510" s="67"/>
      <c r="C510" s="67"/>
      <c r="D510" s="67"/>
      <c r="E510" s="67"/>
      <c r="F510" s="67"/>
      <c r="G510" s="67"/>
      <c r="H510" s="67"/>
      <c r="I510" s="67"/>
    </row>
    <row r="511" ht="13.5" customHeight="1">
      <c r="A511" s="67"/>
      <c r="B511" s="67"/>
      <c r="C511" s="67"/>
      <c r="D511" s="67"/>
      <c r="E511" s="67"/>
      <c r="F511" s="67"/>
      <c r="G511" s="67"/>
      <c r="H511" s="67"/>
      <c r="I511" s="67"/>
    </row>
    <row r="512" ht="13.5" customHeight="1">
      <c r="A512" s="67"/>
      <c r="B512" s="67"/>
      <c r="C512" s="67"/>
      <c r="D512" s="67"/>
      <c r="E512" s="67"/>
      <c r="F512" s="67"/>
      <c r="G512" s="67"/>
      <c r="H512" s="67"/>
      <c r="I512" s="67"/>
    </row>
    <row r="513" ht="13.5" customHeight="1">
      <c r="A513" s="67"/>
      <c r="B513" s="67"/>
      <c r="C513" s="67"/>
      <c r="D513" s="67"/>
      <c r="E513" s="67"/>
      <c r="F513" s="67"/>
      <c r="G513" s="67"/>
      <c r="H513" s="67"/>
      <c r="I513" s="67"/>
    </row>
    <row r="514" ht="13.5" customHeight="1">
      <c r="A514" s="67"/>
      <c r="B514" s="67"/>
      <c r="C514" s="67"/>
      <c r="D514" s="67"/>
      <c r="E514" s="67"/>
      <c r="F514" s="67"/>
      <c r="G514" s="67"/>
      <c r="H514" s="67"/>
      <c r="I514" s="67"/>
    </row>
    <row r="515" ht="13.5" customHeight="1">
      <c r="A515" s="67"/>
      <c r="B515" s="67"/>
      <c r="C515" s="67"/>
      <c r="D515" s="67"/>
      <c r="E515" s="67"/>
      <c r="F515" s="67"/>
      <c r="G515" s="67"/>
      <c r="H515" s="67"/>
      <c r="I515" s="67"/>
    </row>
    <row r="516" ht="13.5" customHeight="1">
      <c r="A516" s="67"/>
      <c r="B516" s="67"/>
      <c r="C516" s="67"/>
      <c r="D516" s="67"/>
      <c r="E516" s="67"/>
      <c r="F516" s="67"/>
      <c r="G516" s="67"/>
      <c r="H516" s="67"/>
      <c r="I516" s="67"/>
    </row>
    <row r="517" ht="13.5" customHeight="1">
      <c r="A517" s="67"/>
      <c r="B517" s="67"/>
      <c r="C517" s="67"/>
      <c r="D517" s="67"/>
      <c r="E517" s="67"/>
      <c r="F517" s="67"/>
      <c r="G517" s="67"/>
      <c r="H517" s="67"/>
      <c r="I517" s="67"/>
    </row>
    <row r="518" ht="13.5" customHeight="1">
      <c r="A518" s="67"/>
      <c r="B518" s="67"/>
      <c r="C518" s="67"/>
      <c r="D518" s="67"/>
      <c r="E518" s="67"/>
      <c r="F518" s="67"/>
      <c r="G518" s="67"/>
      <c r="H518" s="67"/>
      <c r="I518" s="67"/>
    </row>
    <row r="519" ht="13.5" customHeight="1">
      <c r="A519" s="67"/>
      <c r="B519" s="67"/>
      <c r="C519" s="67"/>
      <c r="D519" s="67"/>
      <c r="E519" s="67"/>
      <c r="F519" s="67"/>
      <c r="G519" s="67"/>
      <c r="H519" s="67"/>
      <c r="I519" s="67"/>
    </row>
    <row r="520" ht="13.5" customHeight="1">
      <c r="A520" s="67"/>
      <c r="B520" s="67"/>
      <c r="C520" s="67"/>
      <c r="D520" s="67"/>
      <c r="E520" s="67"/>
      <c r="F520" s="67"/>
      <c r="G520" s="67"/>
      <c r="H520" s="67"/>
      <c r="I520" s="67"/>
    </row>
    <row r="521" ht="13.5" customHeight="1">
      <c r="A521" s="67"/>
      <c r="B521" s="67"/>
      <c r="C521" s="67"/>
      <c r="D521" s="67"/>
      <c r="E521" s="67"/>
      <c r="F521" s="67"/>
      <c r="G521" s="67"/>
      <c r="H521" s="67"/>
      <c r="I521" s="67"/>
    </row>
    <row r="522" ht="13.5" customHeight="1">
      <c r="A522" s="67"/>
      <c r="B522" s="67"/>
      <c r="C522" s="67"/>
      <c r="D522" s="67"/>
      <c r="E522" s="67"/>
      <c r="F522" s="67"/>
      <c r="G522" s="67"/>
      <c r="H522" s="67"/>
      <c r="I522" s="67"/>
    </row>
    <row r="523" ht="13.5" customHeight="1">
      <c r="A523" s="67"/>
      <c r="B523" s="67"/>
      <c r="C523" s="67"/>
      <c r="D523" s="67"/>
      <c r="E523" s="67"/>
      <c r="F523" s="67"/>
      <c r="G523" s="67"/>
      <c r="H523" s="67"/>
      <c r="I523" s="67"/>
    </row>
    <row r="524" ht="13.5" customHeight="1">
      <c r="A524" s="67"/>
      <c r="B524" s="67"/>
      <c r="C524" s="67"/>
      <c r="D524" s="67"/>
      <c r="E524" s="67"/>
      <c r="F524" s="67"/>
      <c r="G524" s="67"/>
      <c r="H524" s="67"/>
      <c r="I524" s="67"/>
    </row>
    <row r="525" ht="13.5" customHeight="1">
      <c r="A525" s="67"/>
      <c r="B525" s="67"/>
      <c r="C525" s="67"/>
      <c r="D525" s="67"/>
      <c r="E525" s="67"/>
      <c r="F525" s="67"/>
      <c r="G525" s="67"/>
      <c r="H525" s="67"/>
      <c r="I525" s="67"/>
    </row>
    <row r="526" ht="13.5" customHeight="1">
      <c r="A526" s="67"/>
      <c r="B526" s="67"/>
      <c r="C526" s="67"/>
      <c r="D526" s="67"/>
      <c r="E526" s="67"/>
      <c r="F526" s="67"/>
      <c r="G526" s="67"/>
      <c r="H526" s="67"/>
      <c r="I526" s="67"/>
    </row>
    <row r="527" ht="13.5" customHeight="1">
      <c r="A527" s="67"/>
      <c r="B527" s="67"/>
      <c r="C527" s="67"/>
      <c r="D527" s="67"/>
      <c r="E527" s="67"/>
      <c r="F527" s="67"/>
      <c r="G527" s="67"/>
      <c r="H527" s="67"/>
      <c r="I527" s="67"/>
    </row>
    <row r="528" ht="13.5" customHeight="1">
      <c r="A528" s="67"/>
      <c r="B528" s="67"/>
      <c r="C528" s="67"/>
      <c r="D528" s="67"/>
      <c r="E528" s="67"/>
      <c r="F528" s="67"/>
      <c r="G528" s="67"/>
      <c r="H528" s="67"/>
      <c r="I528" s="67"/>
    </row>
    <row r="529" ht="13.5" customHeight="1">
      <c r="A529" s="67"/>
      <c r="B529" s="67"/>
      <c r="C529" s="67"/>
      <c r="D529" s="67"/>
      <c r="E529" s="67"/>
      <c r="F529" s="67"/>
      <c r="G529" s="67"/>
      <c r="H529" s="67"/>
      <c r="I529" s="67"/>
    </row>
    <row r="530" ht="13.5" customHeight="1">
      <c r="A530" s="67"/>
      <c r="B530" s="67"/>
      <c r="C530" s="67"/>
      <c r="D530" s="67"/>
      <c r="E530" s="67"/>
      <c r="F530" s="67"/>
      <c r="G530" s="67"/>
      <c r="H530" s="67"/>
      <c r="I530" s="67"/>
    </row>
    <row r="531" ht="13.5" customHeight="1">
      <c r="A531" s="67"/>
      <c r="B531" s="67"/>
      <c r="C531" s="67"/>
      <c r="D531" s="67"/>
      <c r="E531" s="67"/>
      <c r="F531" s="67"/>
      <c r="G531" s="67"/>
      <c r="H531" s="67"/>
      <c r="I531" s="67"/>
    </row>
    <row r="532" ht="13.5" customHeight="1">
      <c r="A532" s="67"/>
      <c r="B532" s="67"/>
      <c r="C532" s="67"/>
      <c r="D532" s="67"/>
      <c r="E532" s="67"/>
      <c r="F532" s="67"/>
      <c r="G532" s="67"/>
      <c r="H532" s="67"/>
      <c r="I532" s="67"/>
    </row>
    <row r="533" ht="13.5" customHeight="1">
      <c r="A533" s="67"/>
      <c r="B533" s="67"/>
      <c r="C533" s="67"/>
      <c r="D533" s="67"/>
      <c r="E533" s="67"/>
      <c r="F533" s="67"/>
      <c r="G533" s="67"/>
      <c r="H533" s="67"/>
      <c r="I533" s="67"/>
    </row>
    <row r="534" ht="13.5" customHeight="1">
      <c r="A534" s="67"/>
      <c r="B534" s="67"/>
      <c r="C534" s="67"/>
      <c r="D534" s="67"/>
      <c r="E534" s="67"/>
      <c r="F534" s="67"/>
      <c r="G534" s="67"/>
      <c r="H534" s="67"/>
      <c r="I534" s="67"/>
    </row>
    <row r="535" ht="13.5" customHeight="1">
      <c r="A535" s="67"/>
      <c r="B535" s="67"/>
      <c r="C535" s="67"/>
      <c r="D535" s="67"/>
      <c r="E535" s="67"/>
      <c r="F535" s="67"/>
      <c r="G535" s="67"/>
      <c r="H535" s="67"/>
      <c r="I535" s="67"/>
    </row>
    <row r="536" ht="13.5" customHeight="1">
      <c r="A536" s="67"/>
      <c r="B536" s="67"/>
      <c r="C536" s="67"/>
      <c r="D536" s="67"/>
      <c r="E536" s="67"/>
      <c r="F536" s="67"/>
      <c r="G536" s="67"/>
      <c r="H536" s="67"/>
      <c r="I536" s="67"/>
    </row>
    <row r="537" ht="13.5" customHeight="1">
      <c r="A537" s="67"/>
      <c r="B537" s="67"/>
      <c r="C537" s="67"/>
      <c r="D537" s="67"/>
      <c r="E537" s="67"/>
      <c r="F537" s="67"/>
      <c r="G537" s="67"/>
      <c r="H537" s="67"/>
      <c r="I537" s="67"/>
    </row>
    <row r="538" ht="13.5" customHeight="1">
      <c r="A538" s="67"/>
      <c r="B538" s="67"/>
      <c r="C538" s="67"/>
      <c r="D538" s="67"/>
      <c r="E538" s="67"/>
      <c r="F538" s="67"/>
      <c r="G538" s="67"/>
      <c r="H538" s="67"/>
      <c r="I538" s="67"/>
    </row>
    <row r="539" ht="13.5" customHeight="1">
      <c r="A539" s="67"/>
      <c r="B539" s="67"/>
      <c r="C539" s="67"/>
      <c r="D539" s="67"/>
      <c r="E539" s="67"/>
      <c r="F539" s="67"/>
      <c r="G539" s="67"/>
      <c r="H539" s="67"/>
      <c r="I539" s="67"/>
    </row>
    <row r="540" ht="13.5" customHeight="1">
      <c r="A540" s="67"/>
      <c r="B540" s="67"/>
      <c r="C540" s="67"/>
      <c r="D540" s="67"/>
      <c r="E540" s="67"/>
      <c r="F540" s="67"/>
      <c r="G540" s="67"/>
      <c r="H540" s="67"/>
      <c r="I540" s="67"/>
    </row>
    <row r="541" ht="13.5" customHeight="1">
      <c r="A541" s="67"/>
      <c r="B541" s="67"/>
      <c r="C541" s="67"/>
      <c r="D541" s="67"/>
      <c r="E541" s="67"/>
      <c r="F541" s="67"/>
      <c r="G541" s="67"/>
      <c r="H541" s="67"/>
      <c r="I541" s="67"/>
    </row>
    <row r="542" ht="13.5" customHeight="1">
      <c r="A542" s="67"/>
      <c r="B542" s="67"/>
      <c r="C542" s="67"/>
      <c r="D542" s="67"/>
      <c r="E542" s="67"/>
      <c r="F542" s="67"/>
      <c r="G542" s="67"/>
      <c r="H542" s="67"/>
      <c r="I542" s="67"/>
    </row>
    <row r="543" ht="13.5" customHeight="1">
      <c r="A543" s="67"/>
      <c r="B543" s="67"/>
      <c r="C543" s="67"/>
      <c r="D543" s="67"/>
      <c r="E543" s="67"/>
      <c r="F543" s="67"/>
      <c r="G543" s="67"/>
      <c r="H543" s="67"/>
      <c r="I543" s="67"/>
    </row>
    <row r="544" ht="13.5" customHeight="1">
      <c r="A544" s="67"/>
      <c r="B544" s="67"/>
      <c r="C544" s="67"/>
      <c r="D544" s="67"/>
      <c r="E544" s="67"/>
      <c r="F544" s="67"/>
      <c r="G544" s="67"/>
      <c r="H544" s="67"/>
      <c r="I544" s="67"/>
    </row>
    <row r="545" ht="13.5" customHeight="1">
      <c r="A545" s="67"/>
      <c r="B545" s="67"/>
      <c r="C545" s="67"/>
      <c r="D545" s="67"/>
      <c r="E545" s="67"/>
      <c r="F545" s="67"/>
      <c r="G545" s="67"/>
      <c r="H545" s="67"/>
      <c r="I545" s="67"/>
    </row>
    <row r="546" ht="13.5" customHeight="1">
      <c r="A546" s="67"/>
      <c r="B546" s="67"/>
      <c r="C546" s="67"/>
      <c r="D546" s="67"/>
      <c r="E546" s="67"/>
      <c r="F546" s="67"/>
      <c r="G546" s="67"/>
      <c r="H546" s="67"/>
      <c r="I546" s="67"/>
    </row>
    <row r="547" ht="13.5" customHeight="1">
      <c r="A547" s="67"/>
      <c r="B547" s="67"/>
      <c r="C547" s="67"/>
      <c r="D547" s="67"/>
      <c r="E547" s="67"/>
      <c r="F547" s="67"/>
      <c r="G547" s="67"/>
      <c r="H547" s="67"/>
      <c r="I547" s="67"/>
    </row>
    <row r="548" ht="13.5" customHeight="1">
      <c r="A548" s="67"/>
      <c r="B548" s="67"/>
      <c r="C548" s="67"/>
      <c r="D548" s="67"/>
      <c r="E548" s="67"/>
      <c r="F548" s="67"/>
      <c r="G548" s="67"/>
      <c r="H548" s="67"/>
      <c r="I548" s="67"/>
    </row>
    <row r="549" ht="13.5" customHeight="1">
      <c r="A549" s="67"/>
      <c r="B549" s="67"/>
      <c r="C549" s="67"/>
      <c r="D549" s="67"/>
      <c r="E549" s="67"/>
      <c r="F549" s="67"/>
      <c r="G549" s="67"/>
      <c r="H549" s="67"/>
      <c r="I549" s="67"/>
    </row>
    <row r="550" ht="13.5" customHeight="1">
      <c r="A550" s="67"/>
      <c r="B550" s="67"/>
      <c r="C550" s="67"/>
      <c r="D550" s="67"/>
      <c r="E550" s="67"/>
      <c r="F550" s="67"/>
      <c r="G550" s="67"/>
      <c r="H550" s="67"/>
      <c r="I550" s="67"/>
    </row>
    <row r="551" ht="13.5" customHeight="1">
      <c r="A551" s="67"/>
      <c r="B551" s="67"/>
      <c r="C551" s="67"/>
      <c r="D551" s="67"/>
      <c r="E551" s="67"/>
      <c r="F551" s="67"/>
      <c r="G551" s="67"/>
      <c r="H551" s="67"/>
      <c r="I551" s="67"/>
    </row>
    <row r="552" ht="13.5" customHeight="1">
      <c r="A552" s="67"/>
      <c r="B552" s="67"/>
      <c r="C552" s="67"/>
      <c r="D552" s="67"/>
      <c r="E552" s="67"/>
      <c r="F552" s="67"/>
      <c r="G552" s="67"/>
      <c r="H552" s="67"/>
      <c r="I552" s="67"/>
    </row>
    <row r="553" ht="13.5" customHeight="1">
      <c r="A553" s="67"/>
      <c r="B553" s="67"/>
      <c r="C553" s="67"/>
      <c r="D553" s="67"/>
      <c r="E553" s="67"/>
      <c r="F553" s="67"/>
      <c r="G553" s="67"/>
      <c r="H553" s="67"/>
      <c r="I553" s="67"/>
    </row>
    <row r="554" ht="13.5" customHeight="1">
      <c r="A554" s="67"/>
      <c r="B554" s="67"/>
      <c r="C554" s="67"/>
      <c r="D554" s="67"/>
      <c r="E554" s="67"/>
      <c r="F554" s="67"/>
      <c r="G554" s="67"/>
      <c r="H554" s="67"/>
      <c r="I554" s="67"/>
    </row>
    <row r="555" ht="13.5" customHeight="1">
      <c r="A555" s="67"/>
      <c r="B555" s="67"/>
      <c r="C555" s="67"/>
      <c r="D555" s="67"/>
      <c r="E555" s="67"/>
      <c r="F555" s="67"/>
      <c r="G555" s="67"/>
      <c r="H555" s="67"/>
      <c r="I555" s="67"/>
    </row>
    <row r="556" ht="13.5" customHeight="1">
      <c r="A556" s="67"/>
      <c r="B556" s="67"/>
      <c r="C556" s="67"/>
      <c r="D556" s="67"/>
      <c r="E556" s="67"/>
      <c r="F556" s="67"/>
      <c r="G556" s="67"/>
      <c r="H556" s="67"/>
      <c r="I556" s="67"/>
    </row>
    <row r="557" ht="13.5" customHeight="1">
      <c r="A557" s="67"/>
      <c r="B557" s="67"/>
      <c r="C557" s="67"/>
      <c r="D557" s="67"/>
      <c r="E557" s="67"/>
      <c r="F557" s="67"/>
      <c r="G557" s="67"/>
      <c r="H557" s="67"/>
      <c r="I557" s="67"/>
    </row>
    <row r="558" ht="13.5" customHeight="1">
      <c r="A558" s="67"/>
      <c r="B558" s="67"/>
      <c r="C558" s="67"/>
      <c r="D558" s="67"/>
      <c r="E558" s="67"/>
      <c r="F558" s="67"/>
      <c r="G558" s="67"/>
      <c r="H558" s="67"/>
      <c r="I558" s="67"/>
    </row>
    <row r="559" ht="13.5" customHeight="1">
      <c r="A559" s="67"/>
      <c r="B559" s="67"/>
      <c r="C559" s="67"/>
      <c r="D559" s="67"/>
      <c r="E559" s="67"/>
      <c r="F559" s="67"/>
      <c r="G559" s="67"/>
      <c r="H559" s="67"/>
      <c r="I559" s="67"/>
    </row>
    <row r="560" ht="13.5" customHeight="1">
      <c r="A560" s="67"/>
      <c r="B560" s="67"/>
      <c r="C560" s="67"/>
      <c r="D560" s="67"/>
      <c r="E560" s="67"/>
      <c r="F560" s="67"/>
      <c r="G560" s="67"/>
      <c r="H560" s="67"/>
      <c r="I560" s="67"/>
    </row>
    <row r="561" ht="13.5" customHeight="1">
      <c r="A561" s="67"/>
      <c r="B561" s="67"/>
      <c r="C561" s="67"/>
      <c r="D561" s="67"/>
      <c r="E561" s="67"/>
      <c r="F561" s="67"/>
      <c r="G561" s="67"/>
      <c r="H561" s="67"/>
      <c r="I561" s="67"/>
    </row>
    <row r="562" ht="13.5" customHeight="1">
      <c r="A562" s="67"/>
      <c r="B562" s="67"/>
      <c r="C562" s="67"/>
      <c r="D562" s="67"/>
      <c r="E562" s="67"/>
      <c r="F562" s="67"/>
      <c r="G562" s="67"/>
      <c r="H562" s="67"/>
      <c r="I562" s="67"/>
    </row>
    <row r="563" ht="13.5" customHeight="1">
      <c r="A563" s="67"/>
      <c r="B563" s="67"/>
      <c r="C563" s="67"/>
      <c r="D563" s="67"/>
      <c r="E563" s="67"/>
      <c r="F563" s="67"/>
      <c r="G563" s="67"/>
      <c r="H563" s="67"/>
      <c r="I563" s="67"/>
    </row>
    <row r="564" ht="13.5" customHeight="1">
      <c r="A564" s="67"/>
      <c r="B564" s="67"/>
      <c r="C564" s="67"/>
      <c r="D564" s="67"/>
      <c r="E564" s="67"/>
      <c r="F564" s="67"/>
      <c r="G564" s="67"/>
      <c r="H564" s="67"/>
      <c r="I564" s="67"/>
    </row>
    <row r="565" ht="13.5" customHeight="1">
      <c r="A565" s="67"/>
      <c r="B565" s="67"/>
      <c r="C565" s="67"/>
      <c r="D565" s="67"/>
      <c r="E565" s="67"/>
      <c r="F565" s="67"/>
      <c r="G565" s="67"/>
      <c r="H565" s="67"/>
      <c r="I565" s="67"/>
    </row>
    <row r="566" ht="13.5" customHeight="1">
      <c r="A566" s="67"/>
      <c r="B566" s="67"/>
      <c r="C566" s="67"/>
      <c r="D566" s="67"/>
      <c r="E566" s="67"/>
      <c r="F566" s="67"/>
      <c r="G566" s="67"/>
      <c r="H566" s="67"/>
      <c r="I566" s="67"/>
    </row>
    <row r="567" ht="13.5" customHeight="1">
      <c r="A567" s="67"/>
      <c r="B567" s="67"/>
      <c r="C567" s="67"/>
      <c r="D567" s="67"/>
      <c r="E567" s="67"/>
      <c r="F567" s="67"/>
      <c r="G567" s="67"/>
      <c r="H567" s="67"/>
      <c r="I567" s="67"/>
    </row>
    <row r="568" ht="13.5" customHeight="1">
      <c r="A568" s="67"/>
      <c r="B568" s="67"/>
      <c r="C568" s="67"/>
      <c r="D568" s="67"/>
      <c r="E568" s="67"/>
      <c r="F568" s="67"/>
      <c r="G568" s="67"/>
      <c r="H568" s="67"/>
      <c r="I568" s="67"/>
    </row>
    <row r="569" ht="13.5" customHeight="1">
      <c r="A569" s="67"/>
      <c r="B569" s="67"/>
      <c r="C569" s="67"/>
      <c r="D569" s="67"/>
      <c r="E569" s="67"/>
      <c r="F569" s="67"/>
      <c r="G569" s="67"/>
      <c r="H569" s="67"/>
      <c r="I569" s="67"/>
    </row>
    <row r="570" ht="13.5" customHeight="1">
      <c r="A570" s="67"/>
      <c r="B570" s="67"/>
      <c r="C570" s="67"/>
      <c r="D570" s="67"/>
      <c r="E570" s="67"/>
      <c r="F570" s="67"/>
      <c r="G570" s="67"/>
      <c r="H570" s="67"/>
      <c r="I570" s="67"/>
    </row>
    <row r="571" ht="13.5" customHeight="1">
      <c r="A571" s="67"/>
      <c r="B571" s="67"/>
      <c r="C571" s="67"/>
      <c r="D571" s="67"/>
      <c r="E571" s="67"/>
      <c r="F571" s="67"/>
      <c r="G571" s="67"/>
      <c r="H571" s="67"/>
      <c r="I571" s="67"/>
    </row>
    <row r="572" ht="13.5" customHeight="1">
      <c r="A572" s="67"/>
      <c r="B572" s="67"/>
      <c r="C572" s="67"/>
      <c r="D572" s="67"/>
      <c r="E572" s="67"/>
      <c r="F572" s="67"/>
      <c r="G572" s="67"/>
      <c r="H572" s="67"/>
      <c r="I572" s="67"/>
    </row>
    <row r="573" ht="13.5" customHeight="1">
      <c r="A573" s="67"/>
      <c r="B573" s="67"/>
      <c r="C573" s="67"/>
      <c r="D573" s="67"/>
      <c r="E573" s="67"/>
      <c r="F573" s="67"/>
      <c r="G573" s="67"/>
      <c r="H573" s="67"/>
      <c r="I573" s="67"/>
    </row>
    <row r="574" ht="13.5" customHeight="1">
      <c r="A574" s="67"/>
      <c r="B574" s="67"/>
      <c r="C574" s="67"/>
      <c r="D574" s="67"/>
      <c r="E574" s="67"/>
      <c r="F574" s="67"/>
      <c r="G574" s="67"/>
      <c r="H574" s="67"/>
      <c r="I574" s="67"/>
    </row>
    <row r="575" ht="13.5" customHeight="1">
      <c r="A575" s="67"/>
      <c r="B575" s="67"/>
      <c r="C575" s="67"/>
      <c r="D575" s="67"/>
      <c r="E575" s="67"/>
      <c r="F575" s="67"/>
      <c r="G575" s="67"/>
      <c r="H575" s="67"/>
      <c r="I575" s="67"/>
    </row>
    <row r="576" ht="13.5" customHeight="1">
      <c r="A576" s="67"/>
      <c r="B576" s="67"/>
      <c r="C576" s="67"/>
      <c r="D576" s="67"/>
      <c r="E576" s="67"/>
      <c r="F576" s="67"/>
      <c r="G576" s="67"/>
      <c r="H576" s="67"/>
      <c r="I576" s="67"/>
    </row>
    <row r="577" ht="13.5" customHeight="1">
      <c r="A577" s="67"/>
      <c r="B577" s="67"/>
      <c r="C577" s="67"/>
      <c r="D577" s="67"/>
      <c r="E577" s="67"/>
      <c r="F577" s="67"/>
      <c r="G577" s="67"/>
      <c r="H577" s="67"/>
      <c r="I577" s="67"/>
    </row>
    <row r="578" ht="13.5" customHeight="1">
      <c r="A578" s="67"/>
      <c r="B578" s="67"/>
      <c r="C578" s="67"/>
      <c r="D578" s="67"/>
      <c r="E578" s="67"/>
      <c r="F578" s="67"/>
      <c r="G578" s="67"/>
      <c r="H578" s="67"/>
      <c r="I578" s="67"/>
    </row>
    <row r="579" ht="13.5" customHeight="1">
      <c r="A579" s="67"/>
      <c r="B579" s="67"/>
      <c r="C579" s="67"/>
      <c r="D579" s="67"/>
      <c r="E579" s="67"/>
      <c r="F579" s="67"/>
      <c r="G579" s="67"/>
      <c r="H579" s="67"/>
      <c r="I579" s="67"/>
    </row>
    <row r="580" ht="13.5" customHeight="1">
      <c r="A580" s="67"/>
      <c r="B580" s="67"/>
      <c r="C580" s="67"/>
      <c r="D580" s="67"/>
      <c r="E580" s="67"/>
      <c r="F580" s="67"/>
      <c r="G580" s="67"/>
      <c r="H580" s="67"/>
      <c r="I580" s="67"/>
    </row>
    <row r="581" ht="13.5" customHeight="1">
      <c r="A581" s="67"/>
      <c r="B581" s="67"/>
      <c r="C581" s="67"/>
      <c r="D581" s="67"/>
      <c r="E581" s="67"/>
      <c r="F581" s="67"/>
      <c r="G581" s="67"/>
      <c r="H581" s="67"/>
      <c r="I581" s="67"/>
    </row>
    <row r="582" ht="13.5" customHeight="1">
      <c r="A582" s="67"/>
      <c r="B582" s="67"/>
      <c r="C582" s="67"/>
      <c r="D582" s="67"/>
      <c r="E582" s="67"/>
      <c r="F582" s="67"/>
      <c r="G582" s="67"/>
      <c r="H582" s="67"/>
      <c r="I582" s="67"/>
    </row>
    <row r="583" ht="13.5" customHeight="1">
      <c r="A583" s="67"/>
      <c r="B583" s="67"/>
      <c r="C583" s="67"/>
      <c r="D583" s="67"/>
      <c r="E583" s="67"/>
      <c r="F583" s="67"/>
      <c r="G583" s="67"/>
      <c r="H583" s="67"/>
      <c r="I583" s="67"/>
    </row>
    <row r="584" ht="13.5" customHeight="1">
      <c r="A584" s="67"/>
      <c r="B584" s="67"/>
      <c r="C584" s="67"/>
      <c r="D584" s="67"/>
      <c r="E584" s="67"/>
      <c r="F584" s="67"/>
      <c r="G584" s="67"/>
      <c r="H584" s="67"/>
      <c r="I584" s="67"/>
    </row>
    <row r="585" ht="13.5" customHeight="1">
      <c r="A585" s="67"/>
      <c r="B585" s="67"/>
      <c r="C585" s="67"/>
      <c r="D585" s="67"/>
      <c r="E585" s="67"/>
      <c r="F585" s="67"/>
      <c r="G585" s="67"/>
      <c r="H585" s="67"/>
      <c r="I585" s="67"/>
    </row>
    <row r="586" ht="13.5" customHeight="1">
      <c r="A586" s="67"/>
      <c r="B586" s="67"/>
      <c r="C586" s="67"/>
      <c r="D586" s="67"/>
      <c r="E586" s="67"/>
      <c r="F586" s="67"/>
      <c r="G586" s="67"/>
      <c r="H586" s="67"/>
      <c r="I586" s="67"/>
    </row>
    <row r="587" ht="13.5" customHeight="1">
      <c r="A587" s="67"/>
      <c r="B587" s="67"/>
      <c r="C587" s="67"/>
      <c r="D587" s="67"/>
      <c r="E587" s="67"/>
      <c r="F587" s="67"/>
      <c r="G587" s="67"/>
      <c r="H587" s="67"/>
      <c r="I587" s="67"/>
    </row>
    <row r="588" ht="13.5" customHeight="1">
      <c r="A588" s="67"/>
      <c r="B588" s="67"/>
      <c r="C588" s="67"/>
      <c r="D588" s="67"/>
      <c r="E588" s="67"/>
      <c r="F588" s="67"/>
      <c r="G588" s="67"/>
      <c r="H588" s="67"/>
      <c r="I588" s="67"/>
    </row>
    <row r="589" ht="13.5" customHeight="1">
      <c r="A589" s="67"/>
      <c r="B589" s="67"/>
      <c r="C589" s="67"/>
      <c r="D589" s="67"/>
      <c r="E589" s="67"/>
      <c r="F589" s="67"/>
      <c r="G589" s="67"/>
      <c r="H589" s="67"/>
      <c r="I589" s="67"/>
    </row>
    <row r="590" ht="13.5" customHeight="1">
      <c r="A590" s="67"/>
      <c r="B590" s="67"/>
      <c r="C590" s="67"/>
      <c r="D590" s="67"/>
      <c r="E590" s="67"/>
      <c r="F590" s="67"/>
      <c r="G590" s="67"/>
      <c r="H590" s="67"/>
      <c r="I590" s="67"/>
    </row>
    <row r="591" ht="13.5" customHeight="1">
      <c r="A591" s="67"/>
      <c r="B591" s="67"/>
      <c r="C591" s="67"/>
      <c r="D591" s="67"/>
      <c r="E591" s="67"/>
      <c r="F591" s="67"/>
      <c r="G591" s="67"/>
      <c r="H591" s="67"/>
      <c r="I591" s="67"/>
    </row>
    <row r="592" ht="13.5" customHeight="1">
      <c r="A592" s="67"/>
      <c r="B592" s="67"/>
      <c r="C592" s="67"/>
      <c r="D592" s="67"/>
      <c r="E592" s="67"/>
      <c r="F592" s="67"/>
      <c r="G592" s="67"/>
      <c r="H592" s="67"/>
      <c r="I592" s="67"/>
    </row>
    <row r="593" ht="13.5" customHeight="1">
      <c r="A593" s="67"/>
      <c r="B593" s="67"/>
      <c r="C593" s="67"/>
      <c r="D593" s="67"/>
      <c r="E593" s="67"/>
      <c r="F593" s="67"/>
      <c r="G593" s="67"/>
      <c r="H593" s="67"/>
      <c r="I593" s="67"/>
    </row>
    <row r="594" ht="13.5" customHeight="1">
      <c r="A594" s="67"/>
      <c r="B594" s="67"/>
      <c r="C594" s="67"/>
      <c r="D594" s="67"/>
      <c r="E594" s="67"/>
      <c r="F594" s="67"/>
      <c r="G594" s="67"/>
      <c r="H594" s="67"/>
      <c r="I594" s="67"/>
    </row>
    <row r="595" ht="13.5" customHeight="1">
      <c r="A595" s="67"/>
      <c r="B595" s="67"/>
      <c r="C595" s="67"/>
      <c r="D595" s="67"/>
      <c r="E595" s="67"/>
      <c r="F595" s="67"/>
      <c r="G595" s="67"/>
      <c r="H595" s="67"/>
      <c r="I595" s="67"/>
    </row>
    <row r="596" ht="13.5" customHeight="1">
      <c r="A596" s="67"/>
      <c r="B596" s="67"/>
      <c r="C596" s="67"/>
      <c r="D596" s="67"/>
      <c r="E596" s="67"/>
      <c r="F596" s="67"/>
      <c r="G596" s="67"/>
      <c r="H596" s="67"/>
      <c r="I596" s="67"/>
    </row>
    <row r="597" ht="13.5" customHeight="1">
      <c r="A597" s="67"/>
      <c r="B597" s="67"/>
      <c r="C597" s="67"/>
      <c r="D597" s="67"/>
      <c r="E597" s="67"/>
      <c r="F597" s="67"/>
      <c r="G597" s="67"/>
      <c r="H597" s="67"/>
      <c r="I597" s="67"/>
    </row>
    <row r="598" ht="13.5" customHeight="1">
      <c r="A598" s="67"/>
      <c r="B598" s="67"/>
      <c r="C598" s="67"/>
      <c r="D598" s="67"/>
      <c r="E598" s="67"/>
      <c r="F598" s="67"/>
      <c r="G598" s="67"/>
      <c r="H598" s="67"/>
      <c r="I598" s="67"/>
    </row>
    <row r="599" ht="13.5" customHeight="1">
      <c r="A599" s="67"/>
      <c r="B599" s="67"/>
      <c r="C599" s="67"/>
      <c r="D599" s="67"/>
      <c r="E599" s="67"/>
      <c r="F599" s="67"/>
      <c r="G599" s="67"/>
      <c r="H599" s="67"/>
      <c r="I599" s="67"/>
    </row>
    <row r="600" ht="13.5" customHeight="1">
      <c r="A600" s="67"/>
      <c r="B600" s="67"/>
      <c r="C600" s="67"/>
      <c r="D600" s="67"/>
      <c r="E600" s="67"/>
      <c r="F600" s="67"/>
      <c r="G600" s="67"/>
      <c r="H600" s="67"/>
      <c r="I600" s="67"/>
    </row>
    <row r="601" ht="13.5" customHeight="1">
      <c r="A601" s="67"/>
      <c r="B601" s="67"/>
      <c r="C601" s="67"/>
      <c r="D601" s="67"/>
      <c r="E601" s="67"/>
      <c r="F601" s="67"/>
      <c r="G601" s="67"/>
      <c r="H601" s="67"/>
      <c r="I601" s="67"/>
    </row>
    <row r="602" ht="13.5" customHeight="1">
      <c r="A602" s="67"/>
      <c r="B602" s="67"/>
      <c r="C602" s="67"/>
      <c r="D602" s="67"/>
      <c r="E602" s="67"/>
      <c r="F602" s="67"/>
      <c r="G602" s="67"/>
      <c r="H602" s="67"/>
      <c r="I602" s="67"/>
    </row>
    <row r="603" ht="13.5" customHeight="1">
      <c r="A603" s="67"/>
      <c r="B603" s="67"/>
      <c r="C603" s="67"/>
      <c r="D603" s="67"/>
      <c r="E603" s="67"/>
      <c r="F603" s="67"/>
      <c r="G603" s="67"/>
      <c r="H603" s="67"/>
      <c r="I603" s="67"/>
    </row>
    <row r="604" ht="13.5" customHeight="1">
      <c r="A604" s="67"/>
      <c r="B604" s="67"/>
      <c r="C604" s="67"/>
      <c r="D604" s="67"/>
      <c r="E604" s="67"/>
      <c r="F604" s="67"/>
      <c r="G604" s="67"/>
      <c r="H604" s="67"/>
      <c r="I604" s="67"/>
    </row>
    <row r="605" ht="13.5" customHeight="1">
      <c r="A605" s="67"/>
      <c r="B605" s="67"/>
      <c r="C605" s="67"/>
      <c r="D605" s="67"/>
      <c r="E605" s="67"/>
      <c r="F605" s="67"/>
      <c r="G605" s="67"/>
      <c r="H605" s="67"/>
      <c r="I605" s="67"/>
    </row>
    <row r="606" ht="13.5" customHeight="1">
      <c r="A606" s="67"/>
      <c r="B606" s="67"/>
      <c r="C606" s="67"/>
      <c r="D606" s="67"/>
      <c r="E606" s="67"/>
      <c r="F606" s="67"/>
      <c r="G606" s="67"/>
      <c r="H606" s="67"/>
      <c r="I606" s="67"/>
    </row>
    <row r="607" ht="13.5" customHeight="1">
      <c r="A607" s="67"/>
      <c r="B607" s="67"/>
      <c r="C607" s="67"/>
      <c r="D607" s="67"/>
      <c r="E607" s="67"/>
      <c r="F607" s="67"/>
      <c r="G607" s="67"/>
      <c r="H607" s="67"/>
      <c r="I607" s="67"/>
    </row>
    <row r="608" ht="13.5" customHeight="1">
      <c r="A608" s="67"/>
      <c r="B608" s="67"/>
      <c r="C608" s="67"/>
      <c r="D608" s="67"/>
      <c r="E608" s="67"/>
      <c r="F608" s="67"/>
      <c r="G608" s="67"/>
      <c r="H608" s="67"/>
      <c r="I608" s="67"/>
    </row>
    <row r="609" ht="13.5" customHeight="1">
      <c r="A609" s="67"/>
      <c r="B609" s="67"/>
      <c r="C609" s="67"/>
      <c r="D609" s="67"/>
      <c r="E609" s="67"/>
      <c r="F609" s="67"/>
      <c r="G609" s="67"/>
      <c r="H609" s="67"/>
      <c r="I609" s="67"/>
    </row>
    <row r="610" ht="13.5" customHeight="1">
      <c r="A610" s="67"/>
      <c r="B610" s="67"/>
      <c r="C610" s="67"/>
      <c r="D610" s="67"/>
      <c r="E610" s="67"/>
      <c r="F610" s="67"/>
      <c r="G610" s="67"/>
      <c r="H610" s="67"/>
      <c r="I610" s="67"/>
    </row>
    <row r="611" ht="13.5" customHeight="1">
      <c r="A611" s="67"/>
      <c r="B611" s="67"/>
      <c r="C611" s="67"/>
      <c r="D611" s="67"/>
      <c r="E611" s="67"/>
      <c r="F611" s="67"/>
      <c r="G611" s="67"/>
      <c r="H611" s="67"/>
      <c r="I611" s="67"/>
    </row>
    <row r="612" ht="13.5" customHeight="1">
      <c r="A612" s="67"/>
      <c r="B612" s="67"/>
      <c r="C612" s="67"/>
      <c r="D612" s="67"/>
      <c r="E612" s="67"/>
      <c r="F612" s="67"/>
      <c r="G612" s="67"/>
      <c r="H612" s="67"/>
      <c r="I612" s="67"/>
    </row>
    <row r="613" ht="13.5" customHeight="1">
      <c r="A613" s="67"/>
      <c r="B613" s="67"/>
      <c r="C613" s="67"/>
      <c r="D613" s="67"/>
      <c r="E613" s="67"/>
      <c r="F613" s="67"/>
      <c r="G613" s="67"/>
      <c r="H613" s="67"/>
      <c r="I613" s="67"/>
    </row>
    <row r="614" ht="13.5" customHeight="1">
      <c r="A614" s="67"/>
      <c r="B614" s="67"/>
      <c r="C614" s="67"/>
      <c r="D614" s="67"/>
      <c r="E614" s="67"/>
      <c r="F614" s="67"/>
      <c r="G614" s="67"/>
      <c r="H614" s="67"/>
      <c r="I614" s="67"/>
    </row>
    <row r="615" ht="13.5" customHeight="1">
      <c r="A615" s="67"/>
      <c r="B615" s="67"/>
      <c r="C615" s="67"/>
      <c r="D615" s="67"/>
      <c r="E615" s="67"/>
      <c r="F615" s="67"/>
      <c r="G615" s="67"/>
      <c r="H615" s="67"/>
      <c r="I615" s="67"/>
    </row>
    <row r="616" ht="13.5" customHeight="1">
      <c r="A616" s="67"/>
      <c r="B616" s="67"/>
      <c r="C616" s="67"/>
      <c r="D616" s="67"/>
      <c r="E616" s="67"/>
      <c r="F616" s="67"/>
      <c r="G616" s="67"/>
      <c r="H616" s="67"/>
      <c r="I616" s="67"/>
    </row>
    <row r="617" ht="13.5" customHeight="1">
      <c r="A617" s="67"/>
      <c r="B617" s="67"/>
      <c r="C617" s="67"/>
      <c r="D617" s="67"/>
      <c r="E617" s="67"/>
      <c r="F617" s="67"/>
      <c r="G617" s="67"/>
      <c r="H617" s="67"/>
      <c r="I617" s="67"/>
    </row>
    <row r="618" ht="13.5" customHeight="1">
      <c r="A618" s="67"/>
      <c r="B618" s="67"/>
      <c r="C618" s="67"/>
      <c r="D618" s="67"/>
      <c r="E618" s="67"/>
      <c r="F618" s="67"/>
      <c r="G618" s="67"/>
      <c r="H618" s="67"/>
      <c r="I618" s="67"/>
    </row>
    <row r="619" ht="13.5" customHeight="1">
      <c r="A619" s="67"/>
      <c r="B619" s="67"/>
      <c r="C619" s="67"/>
      <c r="D619" s="67"/>
      <c r="E619" s="67"/>
      <c r="F619" s="67"/>
      <c r="G619" s="67"/>
      <c r="H619" s="67"/>
      <c r="I619" s="67"/>
    </row>
    <row r="620" ht="13.5" customHeight="1">
      <c r="A620" s="67"/>
      <c r="B620" s="67"/>
      <c r="C620" s="67"/>
      <c r="D620" s="67"/>
      <c r="E620" s="67"/>
      <c r="F620" s="67"/>
      <c r="G620" s="67"/>
      <c r="H620" s="67"/>
      <c r="I620" s="67"/>
    </row>
    <row r="621" ht="13.5" customHeight="1">
      <c r="A621" s="67"/>
      <c r="B621" s="67"/>
      <c r="C621" s="67"/>
      <c r="D621" s="67"/>
      <c r="E621" s="67"/>
      <c r="F621" s="67"/>
      <c r="G621" s="67"/>
      <c r="H621" s="67"/>
      <c r="I621" s="67"/>
    </row>
    <row r="622" ht="13.5" customHeight="1">
      <c r="A622" s="67"/>
      <c r="B622" s="67"/>
      <c r="C622" s="67"/>
      <c r="D622" s="67"/>
      <c r="E622" s="67"/>
      <c r="F622" s="67"/>
      <c r="G622" s="67"/>
      <c r="H622" s="67"/>
      <c r="I622" s="67"/>
    </row>
    <row r="623" ht="13.5" customHeight="1">
      <c r="A623" s="67"/>
      <c r="B623" s="67"/>
      <c r="C623" s="67"/>
      <c r="D623" s="67"/>
      <c r="E623" s="67"/>
      <c r="F623" s="67"/>
      <c r="G623" s="67"/>
      <c r="H623" s="67"/>
      <c r="I623" s="67"/>
    </row>
    <row r="624" ht="13.5" customHeight="1">
      <c r="A624" s="67"/>
      <c r="B624" s="67"/>
      <c r="C624" s="67"/>
      <c r="D624" s="67"/>
      <c r="E624" s="67"/>
      <c r="F624" s="67"/>
      <c r="G624" s="67"/>
      <c r="H624" s="67"/>
      <c r="I624" s="67"/>
    </row>
    <row r="625" ht="13.5" customHeight="1">
      <c r="A625" s="67"/>
      <c r="B625" s="67"/>
      <c r="C625" s="67"/>
      <c r="D625" s="67"/>
      <c r="E625" s="67"/>
      <c r="F625" s="67"/>
      <c r="G625" s="67"/>
      <c r="H625" s="67"/>
      <c r="I625" s="67"/>
    </row>
    <row r="626" ht="13.5" customHeight="1">
      <c r="A626" s="67"/>
      <c r="B626" s="67"/>
      <c r="C626" s="67"/>
      <c r="D626" s="67"/>
      <c r="E626" s="67"/>
      <c r="F626" s="67"/>
      <c r="G626" s="67"/>
      <c r="H626" s="67"/>
      <c r="I626" s="67"/>
    </row>
    <row r="627" ht="13.5" customHeight="1">
      <c r="A627" s="67"/>
      <c r="B627" s="67"/>
      <c r="C627" s="67"/>
      <c r="D627" s="67"/>
      <c r="E627" s="67"/>
      <c r="F627" s="67"/>
      <c r="G627" s="67"/>
      <c r="H627" s="67"/>
      <c r="I627" s="67"/>
    </row>
    <row r="628" ht="13.5" customHeight="1">
      <c r="A628" s="67"/>
      <c r="B628" s="67"/>
      <c r="C628" s="67"/>
      <c r="D628" s="67"/>
      <c r="E628" s="67"/>
      <c r="F628" s="67"/>
      <c r="G628" s="67"/>
      <c r="H628" s="67"/>
      <c r="I628" s="67"/>
    </row>
    <row r="629" ht="13.5" customHeight="1">
      <c r="A629" s="67"/>
      <c r="B629" s="67"/>
      <c r="C629" s="67"/>
      <c r="D629" s="67"/>
      <c r="E629" s="67"/>
      <c r="F629" s="67"/>
      <c r="G629" s="67"/>
      <c r="H629" s="67"/>
      <c r="I629" s="67"/>
    </row>
    <row r="630" ht="13.5" customHeight="1">
      <c r="A630" s="67"/>
      <c r="B630" s="67"/>
      <c r="C630" s="67"/>
      <c r="D630" s="67"/>
      <c r="E630" s="67"/>
      <c r="F630" s="67"/>
      <c r="G630" s="67"/>
      <c r="H630" s="67"/>
      <c r="I630" s="67"/>
    </row>
    <row r="631" ht="13.5" customHeight="1">
      <c r="A631" s="67"/>
      <c r="B631" s="67"/>
      <c r="C631" s="67"/>
      <c r="D631" s="67"/>
      <c r="E631" s="67"/>
      <c r="F631" s="67"/>
      <c r="G631" s="67"/>
      <c r="H631" s="67"/>
      <c r="I631" s="67"/>
    </row>
    <row r="632" ht="13.5" customHeight="1">
      <c r="A632" s="67"/>
      <c r="B632" s="67"/>
      <c r="C632" s="67"/>
      <c r="D632" s="67"/>
      <c r="E632" s="67"/>
      <c r="F632" s="67"/>
      <c r="G632" s="67"/>
      <c r="H632" s="67"/>
      <c r="I632" s="67"/>
    </row>
    <row r="633" ht="13.5" customHeight="1">
      <c r="A633" s="67"/>
      <c r="B633" s="67"/>
      <c r="C633" s="67"/>
      <c r="D633" s="67"/>
      <c r="E633" s="67"/>
      <c r="F633" s="67"/>
      <c r="G633" s="67"/>
      <c r="H633" s="67"/>
      <c r="I633" s="67"/>
    </row>
    <row r="634" ht="13.5" customHeight="1">
      <c r="A634" s="67"/>
      <c r="B634" s="67"/>
      <c r="C634" s="67"/>
      <c r="D634" s="67"/>
      <c r="E634" s="67"/>
      <c r="F634" s="67"/>
      <c r="G634" s="67"/>
      <c r="H634" s="67"/>
      <c r="I634" s="67"/>
    </row>
    <row r="635" ht="13.5" customHeight="1">
      <c r="A635" s="67"/>
      <c r="B635" s="67"/>
      <c r="C635" s="67"/>
      <c r="D635" s="67"/>
      <c r="E635" s="67"/>
      <c r="F635" s="67"/>
      <c r="G635" s="67"/>
      <c r="H635" s="67"/>
      <c r="I635" s="67"/>
    </row>
    <row r="636" ht="13.5" customHeight="1">
      <c r="A636" s="67"/>
      <c r="B636" s="67"/>
      <c r="C636" s="67"/>
      <c r="D636" s="67"/>
      <c r="E636" s="67"/>
      <c r="F636" s="67"/>
      <c r="G636" s="67"/>
      <c r="H636" s="67"/>
      <c r="I636" s="67"/>
    </row>
    <row r="637" ht="13.5" customHeight="1">
      <c r="A637" s="67"/>
      <c r="B637" s="67"/>
      <c r="C637" s="67"/>
      <c r="D637" s="67"/>
      <c r="E637" s="67"/>
      <c r="F637" s="67"/>
      <c r="G637" s="67"/>
      <c r="H637" s="67"/>
      <c r="I637" s="67"/>
    </row>
    <row r="638" ht="13.5" customHeight="1">
      <c r="A638" s="67"/>
      <c r="B638" s="67"/>
      <c r="C638" s="67"/>
      <c r="D638" s="67"/>
      <c r="E638" s="67"/>
      <c r="F638" s="67"/>
      <c r="G638" s="67"/>
      <c r="H638" s="67"/>
      <c r="I638" s="67"/>
    </row>
    <row r="639" ht="13.5" customHeight="1">
      <c r="A639" s="67"/>
      <c r="B639" s="67"/>
      <c r="C639" s="67"/>
      <c r="D639" s="67"/>
      <c r="E639" s="67"/>
      <c r="F639" s="67"/>
      <c r="G639" s="67"/>
      <c r="H639" s="67"/>
      <c r="I639" s="67"/>
    </row>
    <row r="640" ht="13.5" customHeight="1">
      <c r="A640" s="67"/>
      <c r="B640" s="67"/>
      <c r="C640" s="67"/>
      <c r="D640" s="67"/>
      <c r="E640" s="67"/>
      <c r="F640" s="67"/>
      <c r="G640" s="67"/>
      <c r="H640" s="67"/>
      <c r="I640" s="67"/>
    </row>
    <row r="641" ht="13.5" customHeight="1">
      <c r="A641" s="67"/>
      <c r="B641" s="67"/>
      <c r="C641" s="67"/>
      <c r="D641" s="67"/>
      <c r="E641" s="67"/>
      <c r="F641" s="67"/>
      <c r="G641" s="67"/>
      <c r="H641" s="67"/>
      <c r="I641" s="67"/>
    </row>
    <row r="642" ht="13.5" customHeight="1">
      <c r="A642" s="67"/>
      <c r="B642" s="67"/>
      <c r="C642" s="67"/>
      <c r="D642" s="67"/>
      <c r="E642" s="67"/>
      <c r="F642" s="67"/>
      <c r="G642" s="67"/>
      <c r="H642" s="67"/>
      <c r="I642" s="67"/>
    </row>
    <row r="643" ht="13.5" customHeight="1">
      <c r="A643" s="67"/>
      <c r="B643" s="67"/>
      <c r="C643" s="67"/>
      <c r="D643" s="67"/>
      <c r="E643" s="67"/>
      <c r="F643" s="67"/>
      <c r="G643" s="67"/>
      <c r="H643" s="67"/>
      <c r="I643" s="67"/>
    </row>
    <row r="644" ht="13.5" customHeight="1">
      <c r="A644" s="67"/>
      <c r="B644" s="67"/>
      <c r="C644" s="67"/>
      <c r="D644" s="67"/>
      <c r="E644" s="67"/>
      <c r="F644" s="67"/>
      <c r="G644" s="67"/>
      <c r="H644" s="67"/>
      <c r="I644" s="67"/>
    </row>
    <row r="645" ht="13.5" customHeight="1">
      <c r="A645" s="67"/>
      <c r="B645" s="67"/>
      <c r="C645" s="67"/>
      <c r="D645" s="67"/>
      <c r="E645" s="67"/>
      <c r="F645" s="67"/>
      <c r="G645" s="67"/>
      <c r="H645" s="67"/>
      <c r="I645" s="67"/>
    </row>
    <row r="646" ht="13.5" customHeight="1">
      <c r="A646" s="67"/>
      <c r="B646" s="67"/>
      <c r="C646" s="67"/>
      <c r="D646" s="67"/>
      <c r="E646" s="67"/>
      <c r="F646" s="67"/>
      <c r="G646" s="67"/>
      <c r="H646" s="67"/>
      <c r="I646" s="67"/>
    </row>
    <row r="647" ht="13.5" customHeight="1">
      <c r="A647" s="67"/>
      <c r="B647" s="67"/>
      <c r="C647" s="67"/>
      <c r="D647" s="67"/>
      <c r="E647" s="67"/>
      <c r="F647" s="67"/>
      <c r="G647" s="67"/>
      <c r="H647" s="67"/>
      <c r="I647" s="67"/>
    </row>
    <row r="648" ht="13.5" customHeight="1">
      <c r="A648" s="67"/>
      <c r="B648" s="67"/>
      <c r="C648" s="67"/>
      <c r="D648" s="67"/>
      <c r="E648" s="67"/>
      <c r="F648" s="67"/>
      <c r="G648" s="67"/>
      <c r="H648" s="67"/>
      <c r="I648" s="67"/>
    </row>
    <row r="649" ht="13.5" customHeight="1">
      <c r="A649" s="67"/>
      <c r="B649" s="67"/>
      <c r="C649" s="67"/>
      <c r="D649" s="67"/>
      <c r="E649" s="67"/>
      <c r="F649" s="67"/>
      <c r="G649" s="67"/>
      <c r="H649" s="67"/>
      <c r="I649" s="67"/>
    </row>
    <row r="650" ht="13.5" customHeight="1">
      <c r="A650" s="67"/>
      <c r="B650" s="67"/>
      <c r="C650" s="67"/>
      <c r="D650" s="67"/>
      <c r="E650" s="67"/>
      <c r="F650" s="67"/>
      <c r="G650" s="67"/>
      <c r="H650" s="67"/>
      <c r="I650" s="67"/>
    </row>
    <row r="651" ht="13.5" customHeight="1">
      <c r="A651" s="67"/>
      <c r="B651" s="67"/>
      <c r="C651" s="67"/>
      <c r="D651" s="67"/>
      <c r="E651" s="67"/>
      <c r="F651" s="67"/>
      <c r="G651" s="67"/>
      <c r="H651" s="67"/>
      <c r="I651" s="67"/>
    </row>
    <row r="652" ht="13.5" customHeight="1">
      <c r="A652" s="67"/>
      <c r="B652" s="67"/>
      <c r="C652" s="67"/>
      <c r="D652" s="67"/>
      <c r="E652" s="67"/>
      <c r="F652" s="67"/>
      <c r="G652" s="67"/>
      <c r="H652" s="67"/>
      <c r="I652" s="67"/>
    </row>
    <row r="653" ht="13.5" customHeight="1">
      <c r="A653" s="67"/>
      <c r="B653" s="67"/>
      <c r="C653" s="67"/>
      <c r="D653" s="67"/>
      <c r="E653" s="67"/>
      <c r="F653" s="67"/>
      <c r="G653" s="67"/>
      <c r="H653" s="67"/>
      <c r="I653" s="67"/>
    </row>
    <row r="654" ht="13.5" customHeight="1">
      <c r="A654" s="67"/>
      <c r="B654" s="67"/>
      <c r="C654" s="67"/>
      <c r="D654" s="67"/>
      <c r="E654" s="67"/>
      <c r="F654" s="67"/>
      <c r="G654" s="67"/>
      <c r="H654" s="67"/>
      <c r="I654" s="67"/>
    </row>
    <row r="655" ht="13.5" customHeight="1">
      <c r="A655" s="67"/>
      <c r="B655" s="67"/>
      <c r="C655" s="67"/>
      <c r="D655" s="67"/>
      <c r="E655" s="67"/>
      <c r="F655" s="67"/>
      <c r="G655" s="67"/>
      <c r="H655" s="67"/>
      <c r="I655" s="67"/>
    </row>
    <row r="656" ht="13.5" customHeight="1">
      <c r="A656" s="67"/>
      <c r="B656" s="67"/>
      <c r="C656" s="67"/>
      <c r="D656" s="67"/>
      <c r="E656" s="67"/>
      <c r="F656" s="67"/>
      <c r="G656" s="67"/>
      <c r="H656" s="67"/>
      <c r="I656" s="67"/>
    </row>
    <row r="657" ht="13.5" customHeight="1">
      <c r="A657" s="67"/>
      <c r="B657" s="67"/>
      <c r="C657" s="67"/>
      <c r="D657" s="67"/>
      <c r="E657" s="67"/>
      <c r="F657" s="67"/>
      <c r="G657" s="67"/>
      <c r="H657" s="67"/>
      <c r="I657" s="67"/>
    </row>
    <row r="658" ht="13.5" customHeight="1">
      <c r="A658" s="67"/>
      <c r="B658" s="67"/>
      <c r="C658" s="67"/>
      <c r="D658" s="67"/>
      <c r="E658" s="67"/>
      <c r="F658" s="67"/>
      <c r="G658" s="67"/>
      <c r="H658" s="67"/>
      <c r="I658" s="67"/>
    </row>
    <row r="659" ht="13.5" customHeight="1">
      <c r="A659" s="67"/>
      <c r="B659" s="67"/>
      <c r="C659" s="67"/>
      <c r="D659" s="67"/>
      <c r="E659" s="67"/>
      <c r="F659" s="67"/>
      <c r="G659" s="67"/>
      <c r="H659" s="67"/>
      <c r="I659" s="67"/>
    </row>
    <row r="660" ht="13.5" customHeight="1">
      <c r="A660" s="67"/>
      <c r="B660" s="67"/>
      <c r="C660" s="67"/>
      <c r="D660" s="67"/>
      <c r="E660" s="67"/>
      <c r="F660" s="67"/>
      <c r="G660" s="67"/>
      <c r="H660" s="67"/>
      <c r="I660" s="67"/>
    </row>
    <row r="661" ht="13.5" customHeight="1">
      <c r="A661" s="67"/>
      <c r="B661" s="67"/>
      <c r="C661" s="67"/>
      <c r="D661" s="67"/>
      <c r="E661" s="67"/>
      <c r="F661" s="67"/>
      <c r="G661" s="67"/>
      <c r="H661" s="67"/>
      <c r="I661" s="67"/>
    </row>
    <row r="662" ht="13.5" customHeight="1">
      <c r="A662" s="67"/>
      <c r="B662" s="67"/>
      <c r="C662" s="67"/>
      <c r="D662" s="67"/>
      <c r="E662" s="67"/>
      <c r="F662" s="67"/>
      <c r="G662" s="67"/>
      <c r="H662" s="67"/>
      <c r="I662" s="67"/>
    </row>
    <row r="663" ht="13.5" customHeight="1">
      <c r="A663" s="67"/>
      <c r="B663" s="67"/>
      <c r="C663" s="67"/>
      <c r="D663" s="67"/>
      <c r="E663" s="67"/>
      <c r="F663" s="67"/>
      <c r="G663" s="67"/>
      <c r="H663" s="67"/>
      <c r="I663" s="67"/>
    </row>
    <row r="664" ht="13.5" customHeight="1">
      <c r="A664" s="67"/>
      <c r="B664" s="67"/>
      <c r="C664" s="67"/>
      <c r="D664" s="67"/>
      <c r="E664" s="67"/>
      <c r="F664" s="67"/>
      <c r="G664" s="67"/>
      <c r="H664" s="67"/>
      <c r="I664" s="67"/>
    </row>
    <row r="665" ht="13.5" customHeight="1">
      <c r="A665" s="67"/>
      <c r="B665" s="67"/>
      <c r="C665" s="67"/>
      <c r="D665" s="67"/>
      <c r="E665" s="67"/>
      <c r="F665" s="67"/>
      <c r="G665" s="67"/>
      <c r="H665" s="67"/>
      <c r="I665" s="67"/>
    </row>
    <row r="666" ht="13.5" customHeight="1">
      <c r="A666" s="67"/>
      <c r="B666" s="67"/>
      <c r="C666" s="67"/>
      <c r="D666" s="67"/>
      <c r="E666" s="67"/>
      <c r="F666" s="67"/>
      <c r="G666" s="67"/>
      <c r="H666" s="67"/>
      <c r="I666" s="67"/>
    </row>
    <row r="667" ht="13.5" customHeight="1">
      <c r="A667" s="67"/>
      <c r="B667" s="67"/>
      <c r="C667" s="67"/>
      <c r="D667" s="67"/>
      <c r="E667" s="67"/>
      <c r="F667" s="67"/>
      <c r="G667" s="67"/>
      <c r="H667" s="67"/>
      <c r="I667" s="67"/>
    </row>
    <row r="668" ht="13.5" customHeight="1">
      <c r="A668" s="67"/>
      <c r="B668" s="67"/>
      <c r="C668" s="67"/>
      <c r="D668" s="67"/>
      <c r="E668" s="67"/>
      <c r="F668" s="67"/>
      <c r="G668" s="67"/>
      <c r="H668" s="67"/>
      <c r="I668" s="67"/>
    </row>
    <row r="669" ht="13.5" customHeight="1">
      <c r="A669" s="67"/>
      <c r="B669" s="67"/>
      <c r="C669" s="67"/>
      <c r="D669" s="67"/>
      <c r="E669" s="67"/>
      <c r="F669" s="67"/>
      <c r="G669" s="67"/>
      <c r="H669" s="67"/>
      <c r="I669" s="67"/>
    </row>
    <row r="670" ht="13.5" customHeight="1">
      <c r="A670" s="67"/>
      <c r="B670" s="67"/>
      <c r="C670" s="67"/>
      <c r="D670" s="67"/>
      <c r="E670" s="67"/>
      <c r="F670" s="67"/>
      <c r="G670" s="67"/>
      <c r="H670" s="67"/>
      <c r="I670" s="67"/>
    </row>
    <row r="671" ht="13.5" customHeight="1">
      <c r="A671" s="67"/>
      <c r="B671" s="67"/>
      <c r="C671" s="67"/>
      <c r="D671" s="67"/>
      <c r="E671" s="67"/>
      <c r="F671" s="67"/>
      <c r="G671" s="67"/>
      <c r="H671" s="67"/>
      <c r="I671" s="67"/>
    </row>
    <row r="672" ht="13.5" customHeight="1">
      <c r="A672" s="67"/>
      <c r="B672" s="67"/>
      <c r="C672" s="67"/>
      <c r="D672" s="67"/>
      <c r="E672" s="67"/>
      <c r="F672" s="67"/>
      <c r="G672" s="67"/>
      <c r="H672" s="67"/>
      <c r="I672" s="67"/>
    </row>
    <row r="673" ht="13.5" customHeight="1">
      <c r="A673" s="67"/>
      <c r="B673" s="67"/>
      <c r="C673" s="67"/>
      <c r="D673" s="67"/>
      <c r="E673" s="67"/>
      <c r="F673" s="67"/>
      <c r="G673" s="67"/>
      <c r="H673" s="67"/>
      <c r="I673" s="67"/>
    </row>
    <row r="674" ht="13.5" customHeight="1">
      <c r="A674" s="67"/>
      <c r="B674" s="67"/>
      <c r="C674" s="67"/>
      <c r="D674" s="67"/>
      <c r="E674" s="67"/>
      <c r="F674" s="67"/>
      <c r="G674" s="67"/>
      <c r="H674" s="67"/>
      <c r="I674" s="67"/>
    </row>
    <row r="675" ht="13.5" customHeight="1">
      <c r="A675" s="67"/>
      <c r="B675" s="67"/>
      <c r="C675" s="67"/>
      <c r="D675" s="67"/>
      <c r="E675" s="67"/>
      <c r="F675" s="67"/>
      <c r="G675" s="67"/>
      <c r="H675" s="67"/>
      <c r="I675" s="67"/>
    </row>
    <row r="676" ht="13.5" customHeight="1">
      <c r="A676" s="67"/>
      <c r="B676" s="67"/>
      <c r="C676" s="67"/>
      <c r="D676" s="67"/>
      <c r="E676" s="67"/>
      <c r="F676" s="67"/>
      <c r="G676" s="67"/>
      <c r="H676" s="67"/>
      <c r="I676" s="67"/>
    </row>
    <row r="677" ht="13.5" customHeight="1">
      <c r="A677" s="67"/>
      <c r="B677" s="67"/>
      <c r="C677" s="67"/>
      <c r="D677" s="67"/>
      <c r="E677" s="67"/>
      <c r="F677" s="67"/>
      <c r="G677" s="67"/>
      <c r="H677" s="67"/>
      <c r="I677" s="67"/>
    </row>
    <row r="678" ht="13.5" customHeight="1">
      <c r="A678" s="67"/>
      <c r="B678" s="67"/>
      <c r="C678" s="67"/>
      <c r="D678" s="67"/>
      <c r="E678" s="67"/>
      <c r="F678" s="67"/>
      <c r="G678" s="67"/>
      <c r="H678" s="67"/>
      <c r="I678" s="67"/>
    </row>
    <row r="679" ht="13.5" customHeight="1">
      <c r="A679" s="67"/>
      <c r="B679" s="67"/>
      <c r="C679" s="67"/>
      <c r="D679" s="67"/>
      <c r="E679" s="67"/>
      <c r="F679" s="67"/>
      <c r="G679" s="67"/>
      <c r="H679" s="67"/>
      <c r="I679" s="67"/>
    </row>
    <row r="680" ht="13.5" customHeight="1">
      <c r="A680" s="67"/>
      <c r="B680" s="67"/>
      <c r="C680" s="67"/>
      <c r="D680" s="67"/>
      <c r="E680" s="67"/>
      <c r="F680" s="67"/>
      <c r="G680" s="67"/>
      <c r="H680" s="67"/>
      <c r="I680" s="67"/>
    </row>
    <row r="681" ht="13.5" customHeight="1">
      <c r="A681" s="67"/>
      <c r="B681" s="67"/>
      <c r="C681" s="67"/>
      <c r="D681" s="67"/>
      <c r="E681" s="67"/>
      <c r="F681" s="67"/>
      <c r="G681" s="67"/>
      <c r="H681" s="67"/>
      <c r="I681" s="67"/>
    </row>
    <row r="682" ht="13.5" customHeight="1">
      <c r="A682" s="67"/>
      <c r="B682" s="67"/>
      <c r="C682" s="67"/>
      <c r="D682" s="67"/>
      <c r="E682" s="67"/>
      <c r="F682" s="67"/>
      <c r="G682" s="67"/>
      <c r="H682" s="67"/>
      <c r="I682" s="67"/>
    </row>
    <row r="683" ht="13.5" customHeight="1">
      <c r="A683" s="67"/>
      <c r="B683" s="67"/>
      <c r="C683" s="67"/>
      <c r="D683" s="67"/>
      <c r="E683" s="67"/>
      <c r="F683" s="67"/>
      <c r="G683" s="67"/>
      <c r="H683" s="67"/>
      <c r="I683" s="67"/>
    </row>
    <row r="684" ht="13.5" customHeight="1">
      <c r="A684" s="67"/>
      <c r="B684" s="67"/>
      <c r="C684" s="67"/>
      <c r="D684" s="67"/>
      <c r="E684" s="67"/>
      <c r="F684" s="67"/>
      <c r="G684" s="67"/>
      <c r="H684" s="67"/>
      <c r="I684" s="67"/>
    </row>
    <row r="685" ht="13.5" customHeight="1">
      <c r="A685" s="67"/>
      <c r="B685" s="67"/>
      <c r="C685" s="67"/>
      <c r="D685" s="67"/>
      <c r="E685" s="67"/>
      <c r="F685" s="67"/>
      <c r="G685" s="67"/>
      <c r="H685" s="67"/>
      <c r="I685" s="67"/>
    </row>
    <row r="686" ht="13.5" customHeight="1">
      <c r="A686" s="67"/>
      <c r="B686" s="67"/>
      <c r="C686" s="67"/>
      <c r="D686" s="67"/>
      <c r="E686" s="67"/>
      <c r="F686" s="67"/>
      <c r="G686" s="67"/>
      <c r="H686" s="67"/>
      <c r="I686" s="67"/>
    </row>
    <row r="687" ht="13.5" customHeight="1">
      <c r="A687" s="67"/>
      <c r="B687" s="67"/>
      <c r="C687" s="67"/>
      <c r="D687" s="67"/>
      <c r="E687" s="67"/>
      <c r="F687" s="67"/>
      <c r="G687" s="67"/>
      <c r="H687" s="67"/>
      <c r="I687" s="67"/>
    </row>
    <row r="688" ht="13.5" customHeight="1">
      <c r="A688" s="67"/>
      <c r="B688" s="67"/>
      <c r="C688" s="67"/>
      <c r="D688" s="67"/>
      <c r="E688" s="67"/>
      <c r="F688" s="67"/>
      <c r="G688" s="67"/>
      <c r="H688" s="67"/>
      <c r="I688" s="67"/>
    </row>
    <row r="689" ht="13.5" customHeight="1">
      <c r="A689" s="67"/>
      <c r="B689" s="67"/>
      <c r="C689" s="67"/>
      <c r="D689" s="67"/>
      <c r="E689" s="67"/>
      <c r="F689" s="67"/>
      <c r="G689" s="67"/>
      <c r="H689" s="67"/>
      <c r="I689" s="67"/>
    </row>
    <row r="690" ht="13.5" customHeight="1">
      <c r="A690" s="67"/>
      <c r="B690" s="67"/>
      <c r="C690" s="67"/>
      <c r="D690" s="67"/>
      <c r="E690" s="67"/>
      <c r="F690" s="67"/>
      <c r="G690" s="67"/>
      <c r="H690" s="67"/>
      <c r="I690" s="67"/>
    </row>
    <row r="691" ht="13.5" customHeight="1">
      <c r="A691" s="67"/>
      <c r="B691" s="67"/>
      <c r="C691" s="67"/>
      <c r="D691" s="67"/>
      <c r="E691" s="67"/>
      <c r="F691" s="67"/>
      <c r="G691" s="67"/>
      <c r="H691" s="67"/>
      <c r="I691" s="67"/>
    </row>
    <row r="692" ht="13.5" customHeight="1">
      <c r="A692" s="67"/>
      <c r="B692" s="67"/>
      <c r="C692" s="67"/>
      <c r="D692" s="67"/>
      <c r="E692" s="67"/>
      <c r="F692" s="67"/>
      <c r="G692" s="67"/>
      <c r="H692" s="67"/>
      <c r="I692" s="67"/>
    </row>
    <row r="693" ht="13.5" customHeight="1">
      <c r="A693" s="67"/>
      <c r="B693" s="67"/>
      <c r="C693" s="67"/>
      <c r="D693" s="67"/>
      <c r="E693" s="67"/>
      <c r="F693" s="67"/>
      <c r="G693" s="67"/>
      <c r="H693" s="67"/>
      <c r="I693" s="67"/>
    </row>
    <row r="694" ht="13.5" customHeight="1">
      <c r="A694" s="67"/>
      <c r="B694" s="67"/>
      <c r="C694" s="67"/>
      <c r="D694" s="67"/>
      <c r="E694" s="67"/>
      <c r="F694" s="67"/>
      <c r="G694" s="67"/>
      <c r="H694" s="67"/>
      <c r="I694" s="67"/>
    </row>
    <row r="695" ht="13.5" customHeight="1">
      <c r="A695" s="67"/>
      <c r="B695" s="67"/>
      <c r="C695" s="67"/>
      <c r="D695" s="67"/>
      <c r="E695" s="67"/>
      <c r="F695" s="67"/>
      <c r="G695" s="67"/>
      <c r="H695" s="67"/>
      <c r="I695" s="67"/>
    </row>
    <row r="696" ht="13.5" customHeight="1">
      <c r="A696" s="67"/>
      <c r="B696" s="67"/>
      <c r="C696" s="67"/>
      <c r="D696" s="67"/>
      <c r="E696" s="67"/>
      <c r="F696" s="67"/>
      <c r="G696" s="67"/>
      <c r="H696" s="67"/>
      <c r="I696" s="67"/>
    </row>
    <row r="697" ht="13.5" customHeight="1">
      <c r="A697" s="67"/>
      <c r="B697" s="67"/>
      <c r="C697" s="67"/>
      <c r="D697" s="67"/>
      <c r="E697" s="67"/>
      <c r="F697" s="67"/>
      <c r="G697" s="67"/>
      <c r="H697" s="67"/>
      <c r="I697" s="67"/>
    </row>
    <row r="698" ht="13.5" customHeight="1">
      <c r="A698" s="67"/>
      <c r="B698" s="67"/>
      <c r="C698" s="67"/>
      <c r="D698" s="67"/>
      <c r="E698" s="67"/>
      <c r="F698" s="67"/>
      <c r="G698" s="67"/>
      <c r="H698" s="67"/>
      <c r="I698" s="67"/>
    </row>
    <row r="699" ht="13.5" customHeight="1">
      <c r="A699" s="67"/>
      <c r="B699" s="67"/>
      <c r="C699" s="67"/>
      <c r="D699" s="67"/>
      <c r="E699" s="67"/>
      <c r="F699" s="67"/>
      <c r="G699" s="67"/>
      <c r="H699" s="67"/>
      <c r="I699" s="67"/>
    </row>
    <row r="700" ht="13.5" customHeight="1">
      <c r="A700" s="67"/>
      <c r="B700" s="67"/>
      <c r="C700" s="67"/>
      <c r="D700" s="67"/>
      <c r="E700" s="67"/>
      <c r="F700" s="67"/>
      <c r="G700" s="67"/>
      <c r="H700" s="67"/>
      <c r="I700" s="67"/>
    </row>
    <row r="701" ht="13.5" customHeight="1">
      <c r="A701" s="67"/>
      <c r="B701" s="67"/>
      <c r="C701" s="67"/>
      <c r="D701" s="67"/>
      <c r="E701" s="67"/>
      <c r="F701" s="67"/>
      <c r="G701" s="67"/>
      <c r="H701" s="67"/>
      <c r="I701" s="67"/>
    </row>
    <row r="702" ht="13.5" customHeight="1">
      <c r="A702" s="67"/>
      <c r="B702" s="67"/>
      <c r="C702" s="67"/>
      <c r="D702" s="67"/>
      <c r="E702" s="67"/>
      <c r="F702" s="67"/>
      <c r="G702" s="67"/>
      <c r="H702" s="67"/>
      <c r="I702" s="67"/>
    </row>
    <row r="703" ht="13.5" customHeight="1">
      <c r="A703" s="67"/>
      <c r="B703" s="67"/>
      <c r="C703" s="67"/>
      <c r="D703" s="67"/>
      <c r="E703" s="67"/>
      <c r="F703" s="67"/>
      <c r="G703" s="67"/>
      <c r="H703" s="67"/>
      <c r="I703" s="67"/>
    </row>
    <row r="704" ht="13.5" customHeight="1">
      <c r="A704" s="67"/>
      <c r="B704" s="67"/>
      <c r="C704" s="67"/>
      <c r="D704" s="67"/>
      <c r="E704" s="67"/>
      <c r="F704" s="67"/>
      <c r="G704" s="67"/>
      <c r="H704" s="67"/>
      <c r="I704" s="67"/>
    </row>
    <row r="705" ht="13.5" customHeight="1">
      <c r="A705" s="67"/>
      <c r="B705" s="67"/>
      <c r="C705" s="67"/>
      <c r="D705" s="67"/>
      <c r="E705" s="67"/>
      <c r="F705" s="67"/>
      <c r="G705" s="67"/>
      <c r="H705" s="67"/>
      <c r="I705" s="67"/>
    </row>
    <row r="706" ht="13.5" customHeight="1">
      <c r="A706" s="67"/>
      <c r="B706" s="67"/>
      <c r="C706" s="67"/>
      <c r="D706" s="67"/>
      <c r="E706" s="67"/>
      <c r="F706" s="67"/>
      <c r="G706" s="67"/>
      <c r="H706" s="67"/>
      <c r="I706" s="67"/>
    </row>
    <row r="707" ht="13.5" customHeight="1">
      <c r="A707" s="67"/>
      <c r="B707" s="67"/>
      <c r="C707" s="67"/>
      <c r="D707" s="67"/>
      <c r="E707" s="67"/>
      <c r="F707" s="67"/>
      <c r="G707" s="67"/>
      <c r="H707" s="67"/>
      <c r="I707" s="67"/>
    </row>
    <row r="708" ht="13.5" customHeight="1">
      <c r="A708" s="67"/>
      <c r="B708" s="67"/>
      <c r="C708" s="67"/>
      <c r="D708" s="67"/>
      <c r="E708" s="67"/>
      <c r="F708" s="67"/>
      <c r="G708" s="67"/>
      <c r="H708" s="67"/>
      <c r="I708" s="67"/>
    </row>
    <row r="709" ht="13.5" customHeight="1">
      <c r="A709" s="67"/>
      <c r="B709" s="67"/>
      <c r="C709" s="67"/>
      <c r="D709" s="67"/>
      <c r="E709" s="67"/>
      <c r="F709" s="67"/>
      <c r="G709" s="67"/>
      <c r="H709" s="67"/>
      <c r="I709" s="67"/>
    </row>
    <row r="710" ht="13.5" customHeight="1">
      <c r="A710" s="67"/>
      <c r="B710" s="67"/>
      <c r="C710" s="67"/>
      <c r="D710" s="67"/>
      <c r="E710" s="67"/>
      <c r="F710" s="67"/>
      <c r="G710" s="67"/>
      <c r="H710" s="67"/>
      <c r="I710" s="67"/>
    </row>
    <row r="711" ht="13.5" customHeight="1">
      <c r="A711" s="67"/>
      <c r="B711" s="67"/>
      <c r="C711" s="67"/>
      <c r="D711" s="67"/>
      <c r="E711" s="67"/>
      <c r="F711" s="67"/>
      <c r="G711" s="67"/>
      <c r="H711" s="67"/>
      <c r="I711" s="67"/>
    </row>
    <row r="712" ht="13.5" customHeight="1">
      <c r="A712" s="67"/>
      <c r="B712" s="67"/>
      <c r="C712" s="67"/>
      <c r="D712" s="67"/>
      <c r="E712" s="67"/>
      <c r="F712" s="67"/>
      <c r="G712" s="67"/>
      <c r="H712" s="67"/>
      <c r="I712" s="67"/>
    </row>
    <row r="713" ht="13.5" customHeight="1">
      <c r="A713" s="67"/>
      <c r="B713" s="67"/>
      <c r="C713" s="67"/>
      <c r="D713" s="67"/>
      <c r="E713" s="67"/>
      <c r="F713" s="67"/>
      <c r="G713" s="67"/>
      <c r="H713" s="67"/>
      <c r="I713" s="67"/>
    </row>
    <row r="714" ht="13.5" customHeight="1">
      <c r="A714" s="67"/>
      <c r="B714" s="67"/>
      <c r="C714" s="67"/>
      <c r="D714" s="67"/>
      <c r="E714" s="67"/>
      <c r="F714" s="67"/>
      <c r="G714" s="67"/>
      <c r="H714" s="67"/>
      <c r="I714" s="67"/>
    </row>
    <row r="715" ht="13.5" customHeight="1">
      <c r="A715" s="67"/>
      <c r="B715" s="67"/>
      <c r="C715" s="67"/>
      <c r="D715" s="67"/>
      <c r="E715" s="67"/>
      <c r="F715" s="67"/>
      <c r="G715" s="67"/>
      <c r="H715" s="67"/>
      <c r="I715" s="67"/>
    </row>
    <row r="716" ht="13.5" customHeight="1">
      <c r="A716" s="67"/>
      <c r="B716" s="67"/>
      <c r="C716" s="67"/>
      <c r="D716" s="67"/>
      <c r="E716" s="67"/>
      <c r="F716" s="67"/>
      <c r="G716" s="67"/>
      <c r="H716" s="67"/>
      <c r="I716" s="67"/>
    </row>
    <row r="717" ht="13.5" customHeight="1">
      <c r="A717" s="67"/>
      <c r="B717" s="67"/>
      <c r="C717" s="67"/>
      <c r="D717" s="67"/>
      <c r="E717" s="67"/>
      <c r="F717" s="67"/>
      <c r="G717" s="67"/>
      <c r="H717" s="67"/>
      <c r="I717" s="67"/>
    </row>
    <row r="718" ht="13.5" customHeight="1">
      <c r="A718" s="67"/>
      <c r="B718" s="67"/>
      <c r="C718" s="67"/>
      <c r="D718" s="67"/>
      <c r="E718" s="67"/>
      <c r="F718" s="67"/>
      <c r="G718" s="67"/>
      <c r="H718" s="67"/>
      <c r="I718" s="67"/>
    </row>
    <row r="719" ht="13.5" customHeight="1">
      <c r="A719" s="67"/>
      <c r="B719" s="67"/>
      <c r="C719" s="67"/>
      <c r="D719" s="67"/>
      <c r="E719" s="67"/>
      <c r="F719" s="67"/>
      <c r="G719" s="67"/>
      <c r="H719" s="67"/>
      <c r="I719" s="67"/>
    </row>
    <row r="720" ht="13.5" customHeight="1">
      <c r="A720" s="67"/>
      <c r="B720" s="67"/>
      <c r="C720" s="67"/>
      <c r="D720" s="67"/>
      <c r="E720" s="67"/>
      <c r="F720" s="67"/>
      <c r="G720" s="67"/>
      <c r="H720" s="67"/>
      <c r="I720" s="67"/>
    </row>
    <row r="721" ht="13.5" customHeight="1">
      <c r="A721" s="67"/>
      <c r="B721" s="67"/>
      <c r="C721" s="67"/>
      <c r="D721" s="67"/>
      <c r="E721" s="67"/>
      <c r="F721" s="67"/>
      <c r="G721" s="67"/>
      <c r="H721" s="67"/>
      <c r="I721" s="67"/>
    </row>
    <row r="722" ht="13.5" customHeight="1">
      <c r="A722" s="67"/>
      <c r="B722" s="67"/>
      <c r="C722" s="67"/>
      <c r="D722" s="67"/>
      <c r="E722" s="67"/>
      <c r="F722" s="67"/>
      <c r="G722" s="67"/>
      <c r="H722" s="67"/>
      <c r="I722" s="67"/>
    </row>
    <row r="723" ht="13.5" customHeight="1">
      <c r="A723" s="67"/>
      <c r="B723" s="67"/>
      <c r="C723" s="67"/>
      <c r="D723" s="67"/>
      <c r="E723" s="67"/>
      <c r="F723" s="67"/>
      <c r="G723" s="67"/>
      <c r="H723" s="67"/>
      <c r="I723" s="67"/>
    </row>
    <row r="724" ht="13.5" customHeight="1">
      <c r="A724" s="67"/>
      <c r="B724" s="67"/>
      <c r="C724" s="67"/>
      <c r="D724" s="67"/>
      <c r="E724" s="67"/>
      <c r="F724" s="67"/>
      <c r="G724" s="67"/>
      <c r="H724" s="67"/>
      <c r="I724" s="67"/>
    </row>
    <row r="725" ht="13.5" customHeight="1">
      <c r="A725" s="67"/>
      <c r="B725" s="67"/>
      <c r="C725" s="67"/>
      <c r="D725" s="67"/>
      <c r="E725" s="67"/>
      <c r="F725" s="67"/>
      <c r="G725" s="67"/>
      <c r="H725" s="67"/>
      <c r="I725" s="67"/>
    </row>
    <row r="726" ht="13.5" customHeight="1">
      <c r="A726" s="67"/>
      <c r="B726" s="67"/>
      <c r="C726" s="67"/>
      <c r="D726" s="67"/>
      <c r="E726" s="67"/>
      <c r="F726" s="67"/>
      <c r="G726" s="67"/>
      <c r="H726" s="67"/>
      <c r="I726" s="67"/>
    </row>
    <row r="727" ht="13.5" customHeight="1">
      <c r="A727" s="67"/>
      <c r="B727" s="67"/>
      <c r="C727" s="67"/>
      <c r="D727" s="67"/>
      <c r="E727" s="67"/>
      <c r="F727" s="67"/>
      <c r="G727" s="67"/>
      <c r="H727" s="67"/>
      <c r="I727" s="67"/>
    </row>
    <row r="728" ht="13.5" customHeight="1">
      <c r="A728" s="67"/>
      <c r="B728" s="67"/>
      <c r="C728" s="67"/>
      <c r="D728" s="67"/>
      <c r="E728" s="67"/>
      <c r="F728" s="67"/>
      <c r="G728" s="67"/>
      <c r="H728" s="67"/>
      <c r="I728" s="67"/>
    </row>
    <row r="729" ht="13.5" customHeight="1">
      <c r="A729" s="67"/>
      <c r="B729" s="67"/>
      <c r="C729" s="67"/>
      <c r="D729" s="67"/>
      <c r="E729" s="67"/>
      <c r="F729" s="67"/>
      <c r="G729" s="67"/>
      <c r="H729" s="67"/>
      <c r="I729" s="67"/>
    </row>
    <row r="730" ht="13.5" customHeight="1">
      <c r="A730" s="67"/>
      <c r="B730" s="67"/>
      <c r="C730" s="67"/>
      <c r="D730" s="67"/>
      <c r="E730" s="67"/>
      <c r="F730" s="67"/>
      <c r="G730" s="67"/>
      <c r="H730" s="67"/>
      <c r="I730" s="67"/>
    </row>
    <row r="731" ht="13.5" customHeight="1">
      <c r="A731" s="67"/>
      <c r="B731" s="67"/>
      <c r="C731" s="67"/>
      <c r="D731" s="67"/>
      <c r="E731" s="67"/>
      <c r="F731" s="67"/>
      <c r="G731" s="67"/>
      <c r="H731" s="67"/>
      <c r="I731" s="67"/>
    </row>
    <row r="732" ht="13.5" customHeight="1">
      <c r="A732" s="67"/>
      <c r="B732" s="67"/>
      <c r="C732" s="67"/>
      <c r="D732" s="67"/>
      <c r="E732" s="67"/>
      <c r="F732" s="67"/>
      <c r="G732" s="67"/>
      <c r="H732" s="67"/>
      <c r="I732" s="67"/>
    </row>
    <row r="733" ht="13.5" customHeight="1">
      <c r="A733" s="67"/>
      <c r="B733" s="67"/>
      <c r="C733" s="67"/>
      <c r="D733" s="67"/>
      <c r="E733" s="67"/>
      <c r="F733" s="67"/>
      <c r="G733" s="67"/>
      <c r="H733" s="67"/>
      <c r="I733" s="67"/>
    </row>
    <row r="734" ht="13.5" customHeight="1">
      <c r="A734" s="67"/>
      <c r="B734" s="67"/>
      <c r="C734" s="67"/>
      <c r="D734" s="67"/>
      <c r="E734" s="67"/>
      <c r="F734" s="67"/>
      <c r="G734" s="67"/>
      <c r="H734" s="67"/>
      <c r="I734" s="67"/>
    </row>
    <row r="735" ht="13.5" customHeight="1">
      <c r="A735" s="67"/>
      <c r="B735" s="67"/>
      <c r="C735" s="67"/>
      <c r="D735" s="67"/>
      <c r="E735" s="67"/>
      <c r="F735" s="67"/>
      <c r="G735" s="67"/>
      <c r="H735" s="67"/>
      <c r="I735" s="67"/>
    </row>
    <row r="736" ht="13.5" customHeight="1">
      <c r="A736" s="67"/>
      <c r="B736" s="67"/>
      <c r="C736" s="67"/>
      <c r="D736" s="67"/>
      <c r="E736" s="67"/>
      <c r="F736" s="67"/>
      <c r="G736" s="67"/>
      <c r="H736" s="67"/>
      <c r="I736" s="67"/>
    </row>
    <row r="737" ht="13.5" customHeight="1">
      <c r="A737" s="67"/>
      <c r="B737" s="67"/>
      <c r="C737" s="67"/>
      <c r="D737" s="67"/>
      <c r="E737" s="67"/>
      <c r="F737" s="67"/>
      <c r="G737" s="67"/>
      <c r="H737" s="67"/>
      <c r="I737" s="67"/>
    </row>
    <row r="738" ht="13.5" customHeight="1">
      <c r="A738" s="67"/>
      <c r="B738" s="67"/>
      <c r="C738" s="67"/>
      <c r="D738" s="67"/>
      <c r="E738" s="67"/>
      <c r="F738" s="67"/>
      <c r="G738" s="67"/>
      <c r="H738" s="67"/>
      <c r="I738" s="67"/>
    </row>
    <row r="739" ht="13.5" customHeight="1">
      <c r="A739" s="67"/>
      <c r="B739" s="67"/>
      <c r="C739" s="67"/>
      <c r="D739" s="67"/>
      <c r="E739" s="67"/>
      <c r="F739" s="67"/>
      <c r="G739" s="67"/>
      <c r="H739" s="67"/>
      <c r="I739" s="67"/>
    </row>
    <row r="740" ht="13.5" customHeight="1">
      <c r="A740" s="67"/>
      <c r="B740" s="67"/>
      <c r="C740" s="67"/>
      <c r="D740" s="67"/>
      <c r="E740" s="67"/>
      <c r="F740" s="67"/>
      <c r="G740" s="67"/>
      <c r="H740" s="67"/>
      <c r="I740" s="67"/>
    </row>
    <row r="741" ht="13.5" customHeight="1">
      <c r="A741" s="67"/>
      <c r="B741" s="67"/>
      <c r="C741" s="67"/>
      <c r="D741" s="67"/>
      <c r="E741" s="67"/>
      <c r="F741" s="67"/>
      <c r="G741" s="67"/>
      <c r="H741" s="67"/>
      <c r="I741" s="67"/>
    </row>
    <row r="742" ht="13.5" customHeight="1">
      <c r="A742" s="67"/>
      <c r="B742" s="67"/>
      <c r="C742" s="67"/>
      <c r="D742" s="67"/>
      <c r="E742" s="67"/>
      <c r="F742" s="67"/>
      <c r="G742" s="67"/>
      <c r="H742" s="67"/>
      <c r="I742" s="67"/>
    </row>
    <row r="743" ht="13.5" customHeight="1">
      <c r="A743" s="67"/>
      <c r="B743" s="67"/>
      <c r="C743" s="67"/>
      <c r="D743" s="67"/>
      <c r="E743" s="67"/>
      <c r="F743" s="67"/>
      <c r="G743" s="67"/>
      <c r="H743" s="67"/>
      <c r="I743" s="67"/>
    </row>
    <row r="744" ht="13.5" customHeight="1">
      <c r="A744" s="67"/>
      <c r="B744" s="67"/>
      <c r="C744" s="67"/>
      <c r="D744" s="67"/>
      <c r="E744" s="67"/>
      <c r="F744" s="67"/>
      <c r="G744" s="67"/>
      <c r="H744" s="67"/>
      <c r="I744" s="67"/>
    </row>
    <row r="745" ht="13.5" customHeight="1">
      <c r="A745" s="67"/>
      <c r="B745" s="67"/>
      <c r="C745" s="67"/>
      <c r="D745" s="67"/>
      <c r="E745" s="67"/>
      <c r="F745" s="67"/>
      <c r="G745" s="67"/>
      <c r="H745" s="67"/>
      <c r="I745" s="67"/>
    </row>
    <row r="746" ht="13.5" customHeight="1">
      <c r="A746" s="67"/>
      <c r="B746" s="67"/>
      <c r="C746" s="67"/>
      <c r="D746" s="67"/>
      <c r="E746" s="67"/>
      <c r="F746" s="67"/>
      <c r="G746" s="67"/>
      <c r="H746" s="67"/>
      <c r="I746" s="67"/>
    </row>
    <row r="747" ht="13.5" customHeight="1">
      <c r="A747" s="67"/>
      <c r="B747" s="67"/>
      <c r="C747" s="67"/>
      <c r="D747" s="67"/>
      <c r="E747" s="67"/>
      <c r="F747" s="67"/>
      <c r="G747" s="67"/>
      <c r="H747" s="67"/>
      <c r="I747" s="67"/>
    </row>
    <row r="748" ht="13.5" customHeight="1">
      <c r="A748" s="67"/>
      <c r="B748" s="67"/>
      <c r="C748" s="67"/>
      <c r="D748" s="67"/>
      <c r="E748" s="67"/>
      <c r="F748" s="67"/>
      <c r="G748" s="67"/>
      <c r="H748" s="67"/>
      <c r="I748" s="67"/>
    </row>
    <row r="749" ht="13.5" customHeight="1">
      <c r="A749" s="67"/>
      <c r="B749" s="67"/>
      <c r="C749" s="67"/>
      <c r="D749" s="67"/>
      <c r="E749" s="67"/>
      <c r="F749" s="67"/>
      <c r="G749" s="67"/>
      <c r="H749" s="67"/>
      <c r="I749" s="67"/>
    </row>
    <row r="750" ht="13.5" customHeight="1">
      <c r="A750" s="67"/>
      <c r="B750" s="67"/>
      <c r="C750" s="67"/>
      <c r="D750" s="67"/>
      <c r="E750" s="67"/>
      <c r="F750" s="67"/>
      <c r="G750" s="67"/>
      <c r="H750" s="67"/>
      <c r="I750" s="67"/>
    </row>
    <row r="751" ht="13.5" customHeight="1">
      <c r="A751" s="67"/>
      <c r="B751" s="67"/>
      <c r="C751" s="67"/>
      <c r="D751" s="67"/>
      <c r="E751" s="67"/>
      <c r="F751" s="67"/>
      <c r="G751" s="67"/>
      <c r="H751" s="67"/>
      <c r="I751" s="67"/>
    </row>
    <row r="752" ht="13.5" customHeight="1">
      <c r="A752" s="67"/>
      <c r="B752" s="67"/>
      <c r="C752" s="67"/>
      <c r="D752" s="67"/>
      <c r="E752" s="67"/>
      <c r="F752" s="67"/>
      <c r="G752" s="67"/>
      <c r="H752" s="67"/>
      <c r="I752" s="67"/>
    </row>
    <row r="753" ht="13.5" customHeight="1">
      <c r="A753" s="67"/>
      <c r="B753" s="67"/>
      <c r="C753" s="67"/>
      <c r="D753" s="67"/>
      <c r="E753" s="67"/>
      <c r="F753" s="67"/>
      <c r="G753" s="67"/>
      <c r="H753" s="67"/>
      <c r="I753" s="67"/>
    </row>
    <row r="754" ht="13.5" customHeight="1">
      <c r="A754" s="67"/>
      <c r="B754" s="67"/>
      <c r="C754" s="67"/>
      <c r="D754" s="67"/>
      <c r="E754" s="67"/>
      <c r="F754" s="67"/>
      <c r="G754" s="67"/>
      <c r="H754" s="67"/>
      <c r="I754" s="67"/>
    </row>
    <row r="755" ht="13.5" customHeight="1">
      <c r="A755" s="67"/>
      <c r="B755" s="67"/>
      <c r="C755" s="67"/>
      <c r="D755" s="67"/>
      <c r="E755" s="67"/>
      <c r="F755" s="67"/>
      <c r="G755" s="67"/>
      <c r="H755" s="67"/>
      <c r="I755" s="67"/>
    </row>
    <row r="756" ht="13.5" customHeight="1">
      <c r="A756" s="67"/>
      <c r="B756" s="67"/>
      <c r="C756" s="67"/>
      <c r="D756" s="67"/>
      <c r="E756" s="67"/>
      <c r="F756" s="67"/>
      <c r="G756" s="67"/>
      <c r="H756" s="67"/>
      <c r="I756" s="67"/>
    </row>
    <row r="757" ht="13.5" customHeight="1">
      <c r="A757" s="67"/>
      <c r="B757" s="67"/>
      <c r="C757" s="67"/>
      <c r="D757" s="67"/>
      <c r="E757" s="67"/>
      <c r="F757" s="67"/>
      <c r="G757" s="67"/>
      <c r="H757" s="67"/>
      <c r="I757" s="67"/>
    </row>
    <row r="758" ht="13.5" customHeight="1">
      <c r="A758" s="67"/>
      <c r="B758" s="67"/>
      <c r="C758" s="67"/>
      <c r="D758" s="67"/>
      <c r="E758" s="67"/>
      <c r="F758" s="67"/>
      <c r="G758" s="67"/>
      <c r="H758" s="67"/>
      <c r="I758" s="67"/>
    </row>
    <row r="759" ht="13.5" customHeight="1">
      <c r="A759" s="67"/>
      <c r="B759" s="67"/>
      <c r="C759" s="67"/>
      <c r="D759" s="67"/>
      <c r="E759" s="67"/>
      <c r="F759" s="67"/>
      <c r="G759" s="67"/>
      <c r="H759" s="67"/>
      <c r="I759" s="67"/>
    </row>
    <row r="760" ht="13.5" customHeight="1">
      <c r="A760" s="67"/>
      <c r="B760" s="67"/>
      <c r="C760" s="67"/>
      <c r="D760" s="67"/>
      <c r="E760" s="67"/>
      <c r="F760" s="67"/>
      <c r="G760" s="67"/>
      <c r="H760" s="67"/>
      <c r="I760" s="67"/>
    </row>
    <row r="761" ht="13.5" customHeight="1">
      <c r="A761" s="67"/>
      <c r="B761" s="67"/>
      <c r="C761" s="67"/>
      <c r="D761" s="67"/>
      <c r="E761" s="67"/>
      <c r="F761" s="67"/>
      <c r="G761" s="67"/>
      <c r="H761" s="67"/>
      <c r="I761" s="67"/>
    </row>
    <row r="762" ht="13.5" customHeight="1">
      <c r="A762" s="67"/>
      <c r="B762" s="67"/>
      <c r="C762" s="67"/>
      <c r="D762" s="67"/>
      <c r="E762" s="67"/>
      <c r="F762" s="67"/>
      <c r="G762" s="67"/>
      <c r="H762" s="67"/>
      <c r="I762" s="67"/>
    </row>
    <row r="763" ht="13.5" customHeight="1">
      <c r="A763" s="67"/>
      <c r="B763" s="67"/>
      <c r="C763" s="67"/>
      <c r="D763" s="67"/>
      <c r="E763" s="67"/>
      <c r="F763" s="67"/>
      <c r="G763" s="67"/>
      <c r="H763" s="67"/>
      <c r="I763" s="67"/>
    </row>
    <row r="764" ht="13.5" customHeight="1">
      <c r="A764" s="67"/>
      <c r="B764" s="67"/>
      <c r="C764" s="67"/>
      <c r="D764" s="67"/>
      <c r="E764" s="67"/>
      <c r="F764" s="67"/>
      <c r="G764" s="67"/>
      <c r="H764" s="67"/>
      <c r="I764" s="67"/>
    </row>
    <row r="765" ht="13.5" customHeight="1">
      <c r="A765" s="67"/>
      <c r="B765" s="67"/>
      <c r="C765" s="67"/>
      <c r="D765" s="67"/>
      <c r="E765" s="67"/>
      <c r="F765" s="67"/>
      <c r="G765" s="67"/>
      <c r="H765" s="67"/>
      <c r="I765" s="67"/>
    </row>
    <row r="766" ht="13.5" customHeight="1">
      <c r="A766" s="67"/>
      <c r="B766" s="67"/>
      <c r="C766" s="67"/>
      <c r="D766" s="67"/>
      <c r="E766" s="67"/>
      <c r="F766" s="67"/>
      <c r="G766" s="67"/>
      <c r="H766" s="67"/>
      <c r="I766" s="67"/>
    </row>
    <row r="767" ht="13.5" customHeight="1">
      <c r="A767" s="67"/>
      <c r="B767" s="67"/>
      <c r="C767" s="67"/>
      <c r="D767" s="67"/>
      <c r="E767" s="67"/>
      <c r="F767" s="67"/>
      <c r="G767" s="67"/>
      <c r="H767" s="67"/>
      <c r="I767" s="67"/>
    </row>
    <row r="768" ht="13.5" customHeight="1">
      <c r="A768" s="67"/>
      <c r="B768" s="67"/>
      <c r="C768" s="67"/>
      <c r="D768" s="67"/>
      <c r="E768" s="67"/>
      <c r="F768" s="67"/>
      <c r="G768" s="67"/>
      <c r="H768" s="67"/>
      <c r="I768" s="67"/>
    </row>
    <row r="769" ht="13.5" customHeight="1">
      <c r="A769" s="67"/>
      <c r="B769" s="67"/>
      <c r="C769" s="67"/>
      <c r="D769" s="67"/>
      <c r="E769" s="67"/>
      <c r="F769" s="67"/>
      <c r="G769" s="67"/>
      <c r="H769" s="67"/>
      <c r="I769" s="67"/>
    </row>
    <row r="770" ht="13.5" customHeight="1">
      <c r="A770" s="67"/>
      <c r="B770" s="67"/>
      <c r="C770" s="67"/>
      <c r="D770" s="67"/>
      <c r="E770" s="67"/>
      <c r="F770" s="67"/>
      <c r="G770" s="67"/>
      <c r="H770" s="67"/>
      <c r="I770" s="67"/>
    </row>
    <row r="771" ht="13.5" customHeight="1">
      <c r="A771" s="67"/>
      <c r="B771" s="67"/>
      <c r="C771" s="67"/>
      <c r="D771" s="67"/>
      <c r="E771" s="67"/>
      <c r="F771" s="67"/>
      <c r="G771" s="67"/>
      <c r="H771" s="67"/>
      <c r="I771" s="67"/>
    </row>
    <row r="772" ht="13.5" customHeight="1">
      <c r="A772" s="67"/>
      <c r="B772" s="67"/>
      <c r="C772" s="67"/>
      <c r="D772" s="67"/>
      <c r="E772" s="67"/>
      <c r="F772" s="67"/>
      <c r="G772" s="67"/>
      <c r="H772" s="67"/>
      <c r="I772" s="67"/>
    </row>
    <row r="773" ht="13.5" customHeight="1">
      <c r="A773" s="67"/>
      <c r="B773" s="67"/>
      <c r="C773" s="67"/>
      <c r="D773" s="67"/>
      <c r="E773" s="67"/>
      <c r="F773" s="67"/>
      <c r="G773" s="67"/>
      <c r="H773" s="67"/>
      <c r="I773" s="67"/>
    </row>
    <row r="774" ht="13.5" customHeight="1">
      <c r="A774" s="67"/>
      <c r="B774" s="67"/>
      <c r="C774" s="67"/>
      <c r="D774" s="67"/>
      <c r="E774" s="67"/>
      <c r="F774" s="67"/>
      <c r="G774" s="67"/>
      <c r="H774" s="67"/>
      <c r="I774" s="67"/>
    </row>
    <row r="775" ht="13.5" customHeight="1">
      <c r="A775" s="67"/>
      <c r="B775" s="67"/>
      <c r="C775" s="67"/>
      <c r="D775" s="67"/>
      <c r="E775" s="67"/>
      <c r="F775" s="67"/>
      <c r="G775" s="67"/>
      <c r="H775" s="67"/>
      <c r="I775" s="67"/>
    </row>
    <row r="776" ht="13.5" customHeight="1">
      <c r="A776" s="67"/>
      <c r="B776" s="67"/>
      <c r="C776" s="67"/>
      <c r="D776" s="67"/>
      <c r="E776" s="67"/>
      <c r="F776" s="67"/>
      <c r="G776" s="67"/>
      <c r="H776" s="67"/>
      <c r="I776" s="67"/>
    </row>
    <row r="777" ht="13.5" customHeight="1">
      <c r="A777" s="67"/>
      <c r="B777" s="67"/>
      <c r="C777" s="67"/>
      <c r="D777" s="67"/>
      <c r="E777" s="67"/>
      <c r="F777" s="67"/>
      <c r="G777" s="67"/>
      <c r="H777" s="67"/>
      <c r="I777" s="67"/>
    </row>
    <row r="778" ht="13.5" customHeight="1">
      <c r="A778" s="67"/>
      <c r="B778" s="67"/>
      <c r="C778" s="67"/>
      <c r="D778" s="67"/>
      <c r="E778" s="67"/>
      <c r="F778" s="67"/>
      <c r="G778" s="67"/>
      <c r="H778" s="67"/>
      <c r="I778" s="67"/>
    </row>
    <row r="779" ht="13.5" customHeight="1">
      <c r="A779" s="67"/>
      <c r="B779" s="67"/>
      <c r="C779" s="67"/>
      <c r="D779" s="67"/>
      <c r="E779" s="67"/>
      <c r="F779" s="67"/>
      <c r="G779" s="67"/>
      <c r="H779" s="67"/>
      <c r="I779" s="67"/>
    </row>
    <row r="780" ht="13.5" customHeight="1">
      <c r="A780" s="67"/>
      <c r="B780" s="67"/>
      <c r="C780" s="67"/>
      <c r="D780" s="67"/>
      <c r="E780" s="67"/>
      <c r="F780" s="67"/>
      <c r="G780" s="67"/>
      <c r="H780" s="67"/>
      <c r="I780" s="67"/>
    </row>
    <row r="781" ht="13.5" customHeight="1">
      <c r="A781" s="67"/>
      <c r="B781" s="67"/>
      <c r="C781" s="67"/>
      <c r="D781" s="67"/>
      <c r="E781" s="67"/>
      <c r="F781" s="67"/>
      <c r="G781" s="67"/>
      <c r="H781" s="67"/>
      <c r="I781" s="67"/>
    </row>
    <row r="782" ht="13.5" customHeight="1">
      <c r="A782" s="67"/>
      <c r="B782" s="67"/>
      <c r="C782" s="67"/>
      <c r="D782" s="67"/>
      <c r="E782" s="67"/>
      <c r="F782" s="67"/>
      <c r="G782" s="67"/>
      <c r="H782" s="67"/>
      <c r="I782" s="67"/>
    </row>
    <row r="783" ht="13.5" customHeight="1">
      <c r="A783" s="67"/>
      <c r="B783" s="67"/>
      <c r="C783" s="67"/>
      <c r="D783" s="67"/>
      <c r="E783" s="67"/>
      <c r="F783" s="67"/>
      <c r="G783" s="67"/>
      <c r="H783" s="67"/>
      <c r="I783" s="67"/>
    </row>
    <row r="784" ht="13.5" customHeight="1">
      <c r="A784" s="67"/>
      <c r="B784" s="67"/>
      <c r="C784" s="67"/>
      <c r="D784" s="67"/>
      <c r="E784" s="67"/>
      <c r="F784" s="67"/>
      <c r="G784" s="67"/>
      <c r="H784" s="67"/>
      <c r="I784" s="67"/>
    </row>
    <row r="785" ht="13.5" customHeight="1">
      <c r="A785" s="67"/>
      <c r="B785" s="67"/>
      <c r="C785" s="67"/>
      <c r="D785" s="67"/>
      <c r="E785" s="67"/>
      <c r="F785" s="67"/>
      <c r="G785" s="67"/>
      <c r="H785" s="67"/>
      <c r="I785" s="67"/>
    </row>
    <row r="786" ht="13.5" customHeight="1">
      <c r="A786" s="67"/>
      <c r="B786" s="67"/>
      <c r="C786" s="67"/>
      <c r="D786" s="67"/>
      <c r="E786" s="67"/>
      <c r="F786" s="67"/>
      <c r="G786" s="67"/>
      <c r="H786" s="67"/>
      <c r="I786" s="67"/>
    </row>
    <row r="787" ht="13.5" customHeight="1">
      <c r="A787" s="67"/>
      <c r="B787" s="67"/>
      <c r="C787" s="67"/>
      <c r="D787" s="67"/>
      <c r="E787" s="67"/>
      <c r="F787" s="67"/>
      <c r="G787" s="67"/>
      <c r="H787" s="67"/>
      <c r="I787" s="67"/>
    </row>
    <row r="788" ht="13.5" customHeight="1">
      <c r="A788" s="67"/>
      <c r="B788" s="67"/>
      <c r="C788" s="67"/>
      <c r="D788" s="67"/>
      <c r="E788" s="67"/>
      <c r="F788" s="67"/>
      <c r="G788" s="67"/>
      <c r="H788" s="67"/>
      <c r="I788" s="67"/>
    </row>
    <row r="789" ht="13.5" customHeight="1">
      <c r="A789" s="67"/>
      <c r="B789" s="67"/>
      <c r="C789" s="67"/>
      <c r="D789" s="67"/>
      <c r="E789" s="67"/>
      <c r="F789" s="67"/>
      <c r="G789" s="67"/>
      <c r="H789" s="67"/>
      <c r="I789" s="67"/>
    </row>
    <row r="790" ht="13.5" customHeight="1">
      <c r="A790" s="67"/>
      <c r="B790" s="67"/>
      <c r="C790" s="67"/>
      <c r="D790" s="67"/>
      <c r="E790" s="67"/>
      <c r="F790" s="67"/>
      <c r="G790" s="67"/>
      <c r="H790" s="67"/>
      <c r="I790" s="67"/>
    </row>
    <row r="791" ht="13.5" customHeight="1">
      <c r="A791" s="67"/>
      <c r="B791" s="67"/>
      <c r="C791" s="67"/>
      <c r="D791" s="67"/>
      <c r="E791" s="67"/>
      <c r="F791" s="67"/>
      <c r="G791" s="67"/>
      <c r="H791" s="67"/>
      <c r="I791" s="67"/>
    </row>
    <row r="792" ht="13.5" customHeight="1">
      <c r="A792" s="67"/>
      <c r="B792" s="67"/>
      <c r="C792" s="67"/>
      <c r="D792" s="67"/>
      <c r="E792" s="67"/>
      <c r="F792" s="67"/>
      <c r="G792" s="67"/>
      <c r="H792" s="67"/>
      <c r="I792" s="67"/>
    </row>
    <row r="793" ht="13.5" customHeight="1">
      <c r="A793" s="67"/>
      <c r="B793" s="67"/>
      <c r="C793" s="67"/>
      <c r="D793" s="67"/>
      <c r="E793" s="67"/>
      <c r="F793" s="67"/>
      <c r="G793" s="67"/>
      <c r="H793" s="67"/>
      <c r="I793" s="67"/>
    </row>
    <row r="794" ht="13.5" customHeight="1">
      <c r="A794" s="67"/>
      <c r="B794" s="67"/>
      <c r="C794" s="67"/>
      <c r="D794" s="67"/>
      <c r="E794" s="67"/>
      <c r="F794" s="67"/>
      <c r="G794" s="67"/>
      <c r="H794" s="67"/>
      <c r="I794" s="67"/>
    </row>
    <row r="795" ht="13.5" customHeight="1">
      <c r="A795" s="67"/>
      <c r="B795" s="67"/>
      <c r="C795" s="67"/>
      <c r="D795" s="67"/>
      <c r="E795" s="67"/>
      <c r="F795" s="67"/>
      <c r="G795" s="67"/>
      <c r="H795" s="67"/>
      <c r="I795" s="67"/>
    </row>
    <row r="796" ht="13.5" customHeight="1">
      <c r="A796" s="67"/>
      <c r="B796" s="67"/>
      <c r="C796" s="67"/>
      <c r="D796" s="67"/>
      <c r="E796" s="67"/>
      <c r="F796" s="67"/>
      <c r="G796" s="67"/>
      <c r="H796" s="67"/>
      <c r="I796" s="67"/>
    </row>
    <row r="797" ht="13.5" customHeight="1">
      <c r="A797" s="67"/>
      <c r="B797" s="67"/>
      <c r="C797" s="67"/>
      <c r="D797" s="67"/>
      <c r="E797" s="67"/>
      <c r="F797" s="67"/>
      <c r="G797" s="67"/>
      <c r="H797" s="67"/>
      <c r="I797" s="67"/>
    </row>
    <row r="798" ht="13.5" customHeight="1">
      <c r="A798" s="67"/>
      <c r="B798" s="67"/>
      <c r="C798" s="67"/>
      <c r="D798" s="67"/>
      <c r="E798" s="67"/>
      <c r="F798" s="67"/>
      <c r="G798" s="67"/>
      <c r="H798" s="67"/>
      <c r="I798" s="67"/>
    </row>
    <row r="799" ht="13.5" customHeight="1">
      <c r="A799" s="67"/>
      <c r="B799" s="67"/>
      <c r="C799" s="67"/>
      <c r="D799" s="67"/>
      <c r="E799" s="67"/>
      <c r="F799" s="67"/>
      <c r="G799" s="67"/>
      <c r="H799" s="67"/>
      <c r="I799" s="67"/>
    </row>
    <row r="800" ht="13.5" customHeight="1">
      <c r="A800" s="67"/>
      <c r="B800" s="67"/>
      <c r="C800" s="67"/>
      <c r="D800" s="67"/>
      <c r="E800" s="67"/>
      <c r="F800" s="67"/>
      <c r="G800" s="67"/>
      <c r="H800" s="67"/>
      <c r="I800" s="67"/>
    </row>
    <row r="801" ht="13.5" customHeight="1">
      <c r="A801" s="67"/>
      <c r="B801" s="67"/>
      <c r="C801" s="67"/>
      <c r="D801" s="67"/>
      <c r="E801" s="67"/>
      <c r="F801" s="67"/>
      <c r="G801" s="67"/>
      <c r="H801" s="67"/>
      <c r="I801" s="67"/>
    </row>
    <row r="802" ht="13.5" customHeight="1">
      <c r="A802" s="67"/>
      <c r="B802" s="67"/>
      <c r="C802" s="67"/>
      <c r="D802" s="67"/>
      <c r="E802" s="67"/>
      <c r="F802" s="67"/>
      <c r="G802" s="67"/>
      <c r="H802" s="67"/>
      <c r="I802" s="67"/>
    </row>
    <row r="803" ht="13.5" customHeight="1">
      <c r="A803" s="67"/>
      <c r="B803" s="67"/>
      <c r="C803" s="67"/>
      <c r="D803" s="67"/>
      <c r="E803" s="67"/>
      <c r="F803" s="67"/>
      <c r="G803" s="67"/>
      <c r="H803" s="67"/>
      <c r="I803" s="67"/>
    </row>
    <row r="804" ht="13.5" customHeight="1">
      <c r="A804" s="67"/>
      <c r="B804" s="67"/>
      <c r="C804" s="67"/>
      <c r="D804" s="67"/>
      <c r="E804" s="67"/>
      <c r="F804" s="67"/>
      <c r="G804" s="67"/>
      <c r="H804" s="67"/>
      <c r="I804" s="67"/>
    </row>
    <row r="805" ht="13.5" customHeight="1">
      <c r="A805" s="67"/>
      <c r="B805" s="67"/>
      <c r="C805" s="67"/>
      <c r="D805" s="67"/>
      <c r="E805" s="67"/>
      <c r="F805" s="67"/>
      <c r="G805" s="67"/>
      <c r="H805" s="67"/>
      <c r="I805" s="67"/>
    </row>
    <row r="806" ht="13.5" customHeight="1">
      <c r="A806" s="67"/>
      <c r="B806" s="67"/>
      <c r="C806" s="67"/>
      <c r="D806" s="67"/>
      <c r="E806" s="67"/>
      <c r="F806" s="67"/>
      <c r="G806" s="67"/>
      <c r="H806" s="67"/>
      <c r="I806" s="67"/>
    </row>
    <row r="807" ht="13.5" customHeight="1">
      <c r="A807" s="67"/>
      <c r="B807" s="67"/>
      <c r="C807" s="67"/>
      <c r="D807" s="67"/>
      <c r="E807" s="67"/>
      <c r="F807" s="67"/>
      <c r="G807" s="67"/>
      <c r="H807" s="67"/>
      <c r="I807" s="67"/>
    </row>
    <row r="808" ht="13.5" customHeight="1">
      <c r="A808" s="67"/>
      <c r="B808" s="67"/>
      <c r="C808" s="67"/>
      <c r="D808" s="67"/>
      <c r="E808" s="67"/>
      <c r="F808" s="67"/>
      <c r="G808" s="67"/>
      <c r="H808" s="67"/>
      <c r="I808" s="67"/>
    </row>
    <row r="809" ht="13.5" customHeight="1">
      <c r="A809" s="67"/>
      <c r="B809" s="67"/>
      <c r="C809" s="67"/>
      <c r="D809" s="67"/>
      <c r="E809" s="67"/>
      <c r="F809" s="67"/>
      <c r="G809" s="67"/>
      <c r="H809" s="67"/>
      <c r="I809" s="67"/>
    </row>
    <row r="810" ht="13.5" customHeight="1">
      <c r="A810" s="67"/>
      <c r="B810" s="67"/>
      <c r="C810" s="67"/>
      <c r="D810" s="67"/>
      <c r="E810" s="67"/>
      <c r="F810" s="67"/>
      <c r="G810" s="67"/>
      <c r="H810" s="67"/>
      <c r="I810" s="67"/>
    </row>
    <row r="811" ht="13.5" customHeight="1">
      <c r="A811" s="67"/>
      <c r="B811" s="67"/>
      <c r="C811" s="67"/>
      <c r="D811" s="67"/>
      <c r="E811" s="67"/>
      <c r="F811" s="67"/>
      <c r="G811" s="67"/>
      <c r="H811" s="67"/>
      <c r="I811" s="67"/>
    </row>
    <row r="812" ht="13.5" customHeight="1">
      <c r="A812" s="67"/>
      <c r="B812" s="67"/>
      <c r="C812" s="67"/>
      <c r="D812" s="67"/>
      <c r="E812" s="67"/>
      <c r="F812" s="67"/>
      <c r="G812" s="67"/>
      <c r="H812" s="67"/>
      <c r="I812" s="67"/>
    </row>
    <row r="813" ht="13.5" customHeight="1">
      <c r="A813" s="67"/>
      <c r="B813" s="67"/>
      <c r="C813" s="67"/>
      <c r="D813" s="67"/>
      <c r="E813" s="67"/>
      <c r="F813" s="67"/>
      <c r="G813" s="67"/>
      <c r="H813" s="67"/>
      <c r="I813" s="67"/>
    </row>
    <row r="814" ht="13.5" customHeight="1">
      <c r="A814" s="67"/>
      <c r="B814" s="67"/>
      <c r="C814" s="67"/>
      <c r="D814" s="67"/>
      <c r="E814" s="67"/>
      <c r="F814" s="67"/>
      <c r="G814" s="67"/>
      <c r="H814" s="67"/>
      <c r="I814" s="67"/>
    </row>
    <row r="815" ht="13.5" customHeight="1">
      <c r="A815" s="67"/>
      <c r="B815" s="67"/>
      <c r="C815" s="67"/>
      <c r="D815" s="67"/>
      <c r="E815" s="67"/>
      <c r="F815" s="67"/>
      <c r="G815" s="67"/>
      <c r="H815" s="67"/>
      <c r="I815" s="67"/>
    </row>
    <row r="816" ht="13.5" customHeight="1">
      <c r="A816" s="67"/>
      <c r="B816" s="67"/>
      <c r="C816" s="67"/>
      <c r="D816" s="67"/>
      <c r="E816" s="67"/>
      <c r="F816" s="67"/>
      <c r="G816" s="67"/>
      <c r="H816" s="67"/>
      <c r="I816" s="67"/>
    </row>
    <row r="817" ht="13.5" customHeight="1">
      <c r="A817" s="67"/>
      <c r="B817" s="67"/>
      <c r="C817" s="67"/>
      <c r="D817" s="67"/>
      <c r="E817" s="67"/>
      <c r="F817" s="67"/>
      <c r="G817" s="67"/>
      <c r="H817" s="67"/>
      <c r="I817" s="67"/>
    </row>
    <row r="818" ht="13.5" customHeight="1">
      <c r="A818" s="67"/>
      <c r="B818" s="67"/>
      <c r="C818" s="67"/>
      <c r="D818" s="67"/>
      <c r="E818" s="67"/>
      <c r="F818" s="67"/>
      <c r="G818" s="67"/>
      <c r="H818" s="67"/>
      <c r="I818" s="67"/>
    </row>
    <row r="819" ht="13.5" customHeight="1">
      <c r="A819" s="67"/>
      <c r="B819" s="67"/>
      <c r="C819" s="67"/>
      <c r="D819" s="67"/>
      <c r="E819" s="67"/>
      <c r="F819" s="67"/>
      <c r="G819" s="67"/>
      <c r="H819" s="67"/>
      <c r="I819" s="67"/>
    </row>
    <row r="820" ht="13.5" customHeight="1">
      <c r="A820" s="67"/>
      <c r="B820" s="67"/>
      <c r="C820" s="67"/>
      <c r="D820" s="67"/>
      <c r="E820" s="67"/>
      <c r="F820" s="67"/>
      <c r="G820" s="67"/>
      <c r="H820" s="67"/>
      <c r="I820" s="67"/>
    </row>
    <row r="821" ht="13.5" customHeight="1">
      <c r="A821" s="67"/>
      <c r="B821" s="67"/>
      <c r="C821" s="67"/>
      <c r="D821" s="67"/>
      <c r="E821" s="67"/>
      <c r="F821" s="67"/>
      <c r="G821" s="67"/>
      <c r="H821" s="67"/>
      <c r="I821" s="67"/>
    </row>
    <row r="822" ht="13.5" customHeight="1">
      <c r="A822" s="67"/>
      <c r="B822" s="67"/>
      <c r="C822" s="67"/>
      <c r="D822" s="67"/>
      <c r="E822" s="67"/>
      <c r="F822" s="67"/>
      <c r="G822" s="67"/>
      <c r="H822" s="67"/>
      <c r="I822" s="67"/>
    </row>
    <row r="823" ht="13.5" customHeight="1">
      <c r="A823" s="67"/>
      <c r="B823" s="67"/>
      <c r="C823" s="67"/>
      <c r="D823" s="67"/>
      <c r="E823" s="67"/>
      <c r="F823" s="67"/>
      <c r="G823" s="67"/>
      <c r="H823" s="67"/>
      <c r="I823" s="67"/>
    </row>
    <row r="824" ht="13.5" customHeight="1">
      <c r="A824" s="67"/>
      <c r="B824" s="67"/>
      <c r="C824" s="67"/>
      <c r="D824" s="67"/>
      <c r="E824" s="67"/>
      <c r="F824" s="67"/>
      <c r="G824" s="67"/>
      <c r="H824" s="67"/>
      <c r="I824" s="67"/>
    </row>
    <row r="825" ht="13.5" customHeight="1">
      <c r="A825" s="67"/>
      <c r="B825" s="67"/>
      <c r="C825" s="67"/>
      <c r="D825" s="67"/>
      <c r="E825" s="67"/>
      <c r="F825" s="67"/>
      <c r="G825" s="67"/>
      <c r="H825" s="67"/>
      <c r="I825" s="67"/>
    </row>
    <row r="826" ht="13.5" customHeight="1">
      <c r="A826" s="67"/>
      <c r="B826" s="67"/>
      <c r="C826" s="67"/>
      <c r="D826" s="67"/>
      <c r="E826" s="67"/>
      <c r="F826" s="67"/>
      <c r="G826" s="67"/>
      <c r="H826" s="67"/>
      <c r="I826" s="67"/>
    </row>
    <row r="827" ht="13.5" customHeight="1">
      <c r="A827" s="67"/>
      <c r="B827" s="67"/>
      <c r="C827" s="67"/>
      <c r="D827" s="67"/>
      <c r="E827" s="67"/>
      <c r="F827" s="67"/>
      <c r="G827" s="67"/>
      <c r="H827" s="67"/>
      <c r="I827" s="67"/>
    </row>
    <row r="828" ht="13.5" customHeight="1">
      <c r="A828" s="67"/>
      <c r="B828" s="67"/>
      <c r="C828" s="67"/>
      <c r="D828" s="67"/>
      <c r="E828" s="67"/>
      <c r="F828" s="67"/>
      <c r="G828" s="67"/>
      <c r="H828" s="67"/>
      <c r="I828" s="67"/>
    </row>
    <row r="829" ht="13.5" customHeight="1">
      <c r="A829" s="67"/>
      <c r="B829" s="67"/>
      <c r="C829" s="67"/>
      <c r="D829" s="67"/>
      <c r="E829" s="67"/>
      <c r="F829" s="67"/>
      <c r="G829" s="67"/>
      <c r="H829" s="67"/>
      <c r="I829" s="67"/>
    </row>
    <row r="830" ht="13.5" customHeight="1">
      <c r="A830" s="67"/>
      <c r="B830" s="67"/>
      <c r="C830" s="67"/>
      <c r="D830" s="67"/>
      <c r="E830" s="67"/>
      <c r="F830" s="67"/>
      <c r="G830" s="67"/>
      <c r="H830" s="67"/>
      <c r="I830" s="67"/>
    </row>
    <row r="831" ht="13.5" customHeight="1">
      <c r="A831" s="67"/>
      <c r="B831" s="67"/>
      <c r="C831" s="67"/>
      <c r="D831" s="67"/>
      <c r="E831" s="67"/>
      <c r="F831" s="67"/>
      <c r="G831" s="67"/>
      <c r="H831" s="67"/>
      <c r="I831" s="67"/>
    </row>
    <row r="832" ht="13.5" customHeight="1">
      <c r="A832" s="67"/>
      <c r="B832" s="67"/>
      <c r="C832" s="67"/>
      <c r="D832" s="67"/>
      <c r="E832" s="67"/>
      <c r="F832" s="67"/>
      <c r="G832" s="67"/>
      <c r="H832" s="67"/>
      <c r="I832" s="67"/>
    </row>
    <row r="833" ht="13.5" customHeight="1">
      <c r="A833" s="67"/>
      <c r="B833" s="67"/>
      <c r="C833" s="67"/>
      <c r="D833" s="67"/>
      <c r="E833" s="67"/>
      <c r="F833" s="67"/>
      <c r="G833" s="67"/>
      <c r="H833" s="67"/>
      <c r="I833" s="67"/>
    </row>
    <row r="834" ht="13.5" customHeight="1">
      <c r="A834" s="67"/>
      <c r="B834" s="67"/>
      <c r="C834" s="67"/>
      <c r="D834" s="67"/>
      <c r="E834" s="67"/>
      <c r="F834" s="67"/>
      <c r="G834" s="67"/>
      <c r="H834" s="67"/>
      <c r="I834" s="67"/>
    </row>
    <row r="835" ht="13.5" customHeight="1">
      <c r="A835" s="67"/>
      <c r="B835" s="67"/>
      <c r="C835" s="67"/>
      <c r="D835" s="67"/>
      <c r="E835" s="67"/>
      <c r="F835" s="67"/>
      <c r="G835" s="67"/>
      <c r="H835" s="67"/>
      <c r="I835" s="67"/>
    </row>
    <row r="836" ht="13.5" customHeight="1">
      <c r="A836" s="67"/>
      <c r="B836" s="67"/>
      <c r="C836" s="67"/>
      <c r="D836" s="67"/>
      <c r="E836" s="67"/>
      <c r="F836" s="67"/>
      <c r="G836" s="67"/>
      <c r="H836" s="67"/>
      <c r="I836" s="67"/>
    </row>
    <row r="837" ht="13.5" customHeight="1">
      <c r="A837" s="67"/>
      <c r="B837" s="67"/>
      <c r="C837" s="67"/>
      <c r="D837" s="67"/>
      <c r="E837" s="67"/>
      <c r="F837" s="67"/>
      <c r="G837" s="67"/>
      <c r="H837" s="67"/>
      <c r="I837" s="67"/>
    </row>
    <row r="838" ht="13.5" customHeight="1">
      <c r="A838" s="67"/>
      <c r="B838" s="67"/>
      <c r="C838" s="67"/>
      <c r="D838" s="67"/>
      <c r="E838" s="67"/>
      <c r="F838" s="67"/>
      <c r="G838" s="67"/>
      <c r="H838" s="67"/>
      <c r="I838" s="67"/>
    </row>
    <row r="839" ht="13.5" customHeight="1">
      <c r="A839" s="67"/>
      <c r="B839" s="67"/>
      <c r="C839" s="67"/>
      <c r="D839" s="67"/>
      <c r="E839" s="67"/>
      <c r="F839" s="67"/>
      <c r="G839" s="67"/>
      <c r="H839" s="67"/>
      <c r="I839" s="67"/>
    </row>
    <row r="840" ht="13.5" customHeight="1">
      <c r="A840" s="67"/>
      <c r="B840" s="67"/>
      <c r="C840" s="67"/>
      <c r="D840" s="67"/>
      <c r="E840" s="67"/>
      <c r="F840" s="67"/>
      <c r="G840" s="67"/>
      <c r="H840" s="67"/>
      <c r="I840" s="67"/>
    </row>
    <row r="841" ht="13.5" customHeight="1">
      <c r="A841" s="67"/>
      <c r="B841" s="67"/>
      <c r="C841" s="67"/>
      <c r="D841" s="67"/>
      <c r="E841" s="67"/>
      <c r="F841" s="67"/>
      <c r="G841" s="67"/>
      <c r="H841" s="67"/>
      <c r="I841" s="67"/>
    </row>
    <row r="842" ht="13.5" customHeight="1">
      <c r="A842" s="67"/>
      <c r="B842" s="67"/>
      <c r="C842" s="67"/>
      <c r="D842" s="67"/>
      <c r="E842" s="67"/>
      <c r="F842" s="67"/>
      <c r="G842" s="67"/>
      <c r="H842" s="67"/>
      <c r="I842" s="67"/>
    </row>
    <row r="843" ht="13.5" customHeight="1">
      <c r="A843" s="67"/>
      <c r="B843" s="67"/>
      <c r="C843" s="67"/>
      <c r="D843" s="67"/>
      <c r="E843" s="67"/>
      <c r="F843" s="67"/>
      <c r="G843" s="67"/>
      <c r="H843" s="67"/>
      <c r="I843" s="67"/>
    </row>
    <row r="844" ht="13.5" customHeight="1">
      <c r="A844" s="67"/>
      <c r="B844" s="67"/>
      <c r="C844" s="67"/>
      <c r="D844" s="67"/>
      <c r="E844" s="67"/>
      <c r="F844" s="67"/>
      <c r="G844" s="67"/>
      <c r="H844" s="67"/>
      <c r="I844" s="67"/>
    </row>
    <row r="845" ht="13.5" customHeight="1">
      <c r="A845" s="67"/>
      <c r="B845" s="67"/>
      <c r="C845" s="67"/>
      <c r="D845" s="67"/>
      <c r="E845" s="67"/>
      <c r="F845" s="67"/>
      <c r="G845" s="67"/>
      <c r="H845" s="67"/>
      <c r="I845" s="67"/>
    </row>
    <row r="846" ht="13.5" customHeight="1">
      <c r="A846" s="67"/>
      <c r="B846" s="67"/>
      <c r="C846" s="67"/>
      <c r="D846" s="67"/>
      <c r="E846" s="67"/>
      <c r="F846" s="67"/>
      <c r="G846" s="67"/>
      <c r="H846" s="67"/>
      <c r="I846" s="67"/>
    </row>
    <row r="847" ht="13.5" customHeight="1">
      <c r="A847" s="67"/>
      <c r="B847" s="67"/>
      <c r="C847" s="67"/>
      <c r="D847" s="67"/>
      <c r="E847" s="67"/>
      <c r="F847" s="67"/>
      <c r="G847" s="67"/>
      <c r="H847" s="67"/>
      <c r="I847" s="67"/>
    </row>
    <row r="848" ht="13.5" customHeight="1">
      <c r="A848" s="67"/>
      <c r="B848" s="67"/>
      <c r="C848" s="67"/>
      <c r="D848" s="67"/>
      <c r="E848" s="67"/>
      <c r="F848" s="67"/>
      <c r="G848" s="67"/>
      <c r="H848" s="67"/>
      <c r="I848" s="67"/>
    </row>
    <row r="849" ht="13.5" customHeight="1">
      <c r="A849" s="67"/>
      <c r="B849" s="67"/>
      <c r="C849" s="67"/>
      <c r="D849" s="67"/>
      <c r="E849" s="67"/>
      <c r="F849" s="67"/>
      <c r="G849" s="67"/>
      <c r="H849" s="67"/>
      <c r="I849" s="67"/>
    </row>
    <row r="850" ht="13.5" customHeight="1">
      <c r="A850" s="67"/>
      <c r="B850" s="67"/>
      <c r="C850" s="67"/>
      <c r="D850" s="67"/>
      <c r="E850" s="67"/>
      <c r="F850" s="67"/>
      <c r="G850" s="67"/>
      <c r="H850" s="67"/>
      <c r="I850" s="67"/>
    </row>
    <row r="851" ht="13.5" customHeight="1">
      <c r="A851" s="67"/>
      <c r="B851" s="67"/>
      <c r="C851" s="67"/>
      <c r="D851" s="67"/>
      <c r="E851" s="67"/>
      <c r="F851" s="67"/>
      <c r="G851" s="67"/>
      <c r="H851" s="67"/>
      <c r="I851" s="67"/>
    </row>
    <row r="852" ht="13.5" customHeight="1">
      <c r="A852" s="67"/>
      <c r="B852" s="67"/>
      <c r="C852" s="67"/>
      <c r="D852" s="67"/>
      <c r="E852" s="67"/>
      <c r="F852" s="67"/>
      <c r="G852" s="67"/>
      <c r="H852" s="67"/>
      <c r="I852" s="67"/>
    </row>
    <row r="853" ht="13.5" customHeight="1">
      <c r="A853" s="67"/>
      <c r="B853" s="67"/>
      <c r="C853" s="67"/>
      <c r="D853" s="67"/>
      <c r="E853" s="67"/>
      <c r="F853" s="67"/>
      <c r="G853" s="67"/>
      <c r="H853" s="67"/>
      <c r="I853" s="67"/>
    </row>
    <row r="854" ht="13.5" customHeight="1">
      <c r="A854" s="67"/>
      <c r="B854" s="67"/>
      <c r="C854" s="67"/>
      <c r="D854" s="67"/>
      <c r="E854" s="67"/>
      <c r="F854" s="67"/>
      <c r="G854" s="67"/>
      <c r="H854" s="67"/>
      <c r="I854" s="67"/>
    </row>
    <row r="855" ht="13.5" customHeight="1">
      <c r="A855" s="67"/>
      <c r="B855" s="67"/>
      <c r="C855" s="67"/>
      <c r="D855" s="67"/>
      <c r="E855" s="67"/>
      <c r="F855" s="67"/>
      <c r="G855" s="67"/>
      <c r="H855" s="67"/>
      <c r="I855" s="67"/>
    </row>
    <row r="856" ht="13.5" customHeight="1">
      <c r="A856" s="67"/>
      <c r="B856" s="67"/>
      <c r="C856" s="67"/>
      <c r="D856" s="67"/>
      <c r="E856" s="67"/>
      <c r="F856" s="67"/>
      <c r="G856" s="67"/>
      <c r="H856" s="67"/>
      <c r="I856" s="67"/>
    </row>
    <row r="857" ht="13.5" customHeight="1">
      <c r="A857" s="67"/>
      <c r="B857" s="67"/>
      <c r="C857" s="67"/>
      <c r="D857" s="67"/>
      <c r="E857" s="67"/>
      <c r="F857" s="67"/>
      <c r="G857" s="67"/>
      <c r="H857" s="67"/>
      <c r="I857" s="67"/>
    </row>
    <row r="858" ht="13.5" customHeight="1">
      <c r="A858" s="67"/>
      <c r="B858" s="67"/>
      <c r="C858" s="67"/>
      <c r="D858" s="67"/>
      <c r="E858" s="67"/>
      <c r="F858" s="67"/>
      <c r="G858" s="67"/>
      <c r="H858" s="67"/>
      <c r="I858" s="67"/>
    </row>
    <row r="859" ht="13.5" customHeight="1">
      <c r="A859" s="67"/>
      <c r="B859" s="67"/>
      <c r="C859" s="67"/>
      <c r="D859" s="67"/>
      <c r="E859" s="67"/>
      <c r="F859" s="67"/>
      <c r="G859" s="67"/>
      <c r="H859" s="67"/>
      <c r="I859" s="67"/>
    </row>
    <row r="860" ht="13.5" customHeight="1">
      <c r="A860" s="67"/>
      <c r="B860" s="67"/>
      <c r="C860" s="67"/>
      <c r="D860" s="67"/>
      <c r="E860" s="67"/>
      <c r="F860" s="67"/>
      <c r="G860" s="67"/>
      <c r="H860" s="67"/>
      <c r="I860" s="67"/>
    </row>
    <row r="861" ht="13.5" customHeight="1">
      <c r="A861" s="67"/>
      <c r="B861" s="67"/>
      <c r="C861" s="67"/>
      <c r="D861" s="67"/>
      <c r="E861" s="67"/>
      <c r="F861" s="67"/>
      <c r="G861" s="67"/>
      <c r="H861" s="67"/>
      <c r="I861" s="67"/>
    </row>
    <row r="862" ht="13.5" customHeight="1">
      <c r="A862" s="67"/>
      <c r="B862" s="67"/>
      <c r="C862" s="67"/>
      <c r="D862" s="67"/>
      <c r="E862" s="67"/>
      <c r="F862" s="67"/>
      <c r="G862" s="67"/>
      <c r="H862" s="67"/>
      <c r="I862" s="67"/>
    </row>
    <row r="863" ht="13.5" customHeight="1">
      <c r="A863" s="67"/>
      <c r="B863" s="67"/>
      <c r="C863" s="67"/>
      <c r="D863" s="67"/>
      <c r="E863" s="67"/>
      <c r="F863" s="67"/>
      <c r="G863" s="67"/>
      <c r="H863" s="67"/>
      <c r="I863" s="67"/>
    </row>
    <row r="864" ht="13.5" customHeight="1">
      <c r="A864" s="67"/>
      <c r="B864" s="67"/>
      <c r="C864" s="67"/>
      <c r="D864" s="67"/>
      <c r="E864" s="67"/>
      <c r="F864" s="67"/>
      <c r="G864" s="67"/>
      <c r="H864" s="67"/>
      <c r="I864" s="67"/>
    </row>
    <row r="865" ht="13.5" customHeight="1">
      <c r="A865" s="67"/>
      <c r="B865" s="67"/>
      <c r="C865" s="67"/>
      <c r="D865" s="67"/>
      <c r="E865" s="67"/>
      <c r="F865" s="67"/>
      <c r="G865" s="67"/>
      <c r="H865" s="67"/>
      <c r="I865" s="67"/>
    </row>
    <row r="866" ht="13.5" customHeight="1">
      <c r="A866" s="67"/>
      <c r="B866" s="67"/>
      <c r="C866" s="67"/>
      <c r="D866" s="67"/>
      <c r="E866" s="67"/>
      <c r="F866" s="67"/>
      <c r="G866" s="67"/>
      <c r="H866" s="67"/>
      <c r="I866" s="67"/>
    </row>
    <row r="867" ht="13.5" customHeight="1">
      <c r="A867" s="67"/>
      <c r="B867" s="67"/>
      <c r="C867" s="67"/>
      <c r="D867" s="67"/>
      <c r="E867" s="67"/>
      <c r="F867" s="67"/>
      <c r="G867" s="67"/>
      <c r="H867" s="67"/>
      <c r="I867" s="67"/>
    </row>
    <row r="868" ht="13.5" customHeight="1">
      <c r="A868" s="67"/>
      <c r="B868" s="67"/>
      <c r="C868" s="67"/>
      <c r="D868" s="67"/>
      <c r="E868" s="67"/>
      <c r="F868" s="67"/>
      <c r="G868" s="67"/>
      <c r="H868" s="67"/>
      <c r="I868" s="67"/>
    </row>
    <row r="869" ht="13.5" customHeight="1">
      <c r="A869" s="67"/>
      <c r="B869" s="67"/>
      <c r="C869" s="67"/>
      <c r="D869" s="67"/>
      <c r="E869" s="67"/>
      <c r="F869" s="67"/>
      <c r="G869" s="67"/>
      <c r="H869" s="67"/>
      <c r="I869" s="67"/>
    </row>
    <row r="870" ht="13.5" customHeight="1">
      <c r="A870" s="67"/>
      <c r="B870" s="67"/>
      <c r="C870" s="67"/>
      <c r="D870" s="67"/>
      <c r="E870" s="67"/>
      <c r="F870" s="67"/>
      <c r="G870" s="67"/>
      <c r="H870" s="67"/>
      <c r="I870" s="67"/>
    </row>
    <row r="871" ht="13.5" customHeight="1">
      <c r="A871" s="67"/>
      <c r="B871" s="67"/>
      <c r="C871" s="67"/>
      <c r="D871" s="67"/>
      <c r="E871" s="67"/>
      <c r="F871" s="67"/>
      <c r="G871" s="67"/>
      <c r="H871" s="67"/>
      <c r="I871" s="67"/>
    </row>
    <row r="872" ht="13.5" customHeight="1">
      <c r="A872" s="67"/>
      <c r="B872" s="67"/>
      <c r="C872" s="67"/>
      <c r="D872" s="67"/>
      <c r="E872" s="67"/>
      <c r="F872" s="67"/>
      <c r="G872" s="67"/>
      <c r="H872" s="67"/>
      <c r="I872" s="67"/>
    </row>
    <row r="873" ht="13.5" customHeight="1">
      <c r="A873" s="67"/>
      <c r="B873" s="67"/>
      <c r="C873" s="67"/>
      <c r="D873" s="67"/>
      <c r="E873" s="67"/>
      <c r="F873" s="67"/>
      <c r="G873" s="67"/>
      <c r="H873" s="67"/>
      <c r="I873" s="67"/>
    </row>
    <row r="874" ht="13.5" customHeight="1">
      <c r="A874" s="67"/>
      <c r="B874" s="67"/>
      <c r="C874" s="67"/>
      <c r="D874" s="67"/>
      <c r="E874" s="67"/>
      <c r="F874" s="67"/>
      <c r="G874" s="67"/>
      <c r="H874" s="67"/>
      <c r="I874" s="67"/>
    </row>
    <row r="875" ht="13.5" customHeight="1">
      <c r="A875" s="67"/>
      <c r="B875" s="67"/>
      <c r="C875" s="67"/>
      <c r="D875" s="67"/>
      <c r="E875" s="67"/>
      <c r="F875" s="67"/>
      <c r="G875" s="67"/>
      <c r="H875" s="67"/>
      <c r="I875" s="67"/>
    </row>
    <row r="876" ht="13.5" customHeight="1">
      <c r="A876" s="67"/>
      <c r="B876" s="67"/>
      <c r="C876" s="67"/>
      <c r="D876" s="67"/>
      <c r="E876" s="67"/>
      <c r="F876" s="67"/>
      <c r="G876" s="67"/>
      <c r="H876" s="67"/>
      <c r="I876" s="67"/>
    </row>
    <row r="877" ht="13.5" customHeight="1">
      <c r="A877" s="67"/>
      <c r="B877" s="67"/>
      <c r="C877" s="67"/>
      <c r="D877" s="67"/>
      <c r="E877" s="67"/>
      <c r="F877" s="67"/>
      <c r="G877" s="67"/>
      <c r="H877" s="67"/>
      <c r="I877" s="67"/>
    </row>
    <row r="878" ht="13.5" customHeight="1">
      <c r="A878" s="67"/>
      <c r="B878" s="67"/>
      <c r="C878" s="67"/>
      <c r="D878" s="67"/>
      <c r="E878" s="67"/>
      <c r="F878" s="67"/>
      <c r="G878" s="67"/>
      <c r="H878" s="67"/>
      <c r="I878" s="67"/>
    </row>
    <row r="879" ht="13.5" customHeight="1">
      <c r="A879" s="67"/>
      <c r="B879" s="67"/>
      <c r="C879" s="67"/>
      <c r="D879" s="67"/>
      <c r="E879" s="67"/>
      <c r="F879" s="67"/>
      <c r="G879" s="67"/>
      <c r="H879" s="67"/>
      <c r="I879" s="67"/>
    </row>
    <row r="880" ht="13.5" customHeight="1">
      <c r="A880" s="67"/>
      <c r="B880" s="67"/>
      <c r="C880" s="67"/>
      <c r="D880" s="67"/>
      <c r="E880" s="67"/>
      <c r="F880" s="67"/>
      <c r="G880" s="67"/>
      <c r="H880" s="67"/>
      <c r="I880" s="67"/>
    </row>
    <row r="881" ht="13.5" customHeight="1">
      <c r="A881" s="67"/>
      <c r="B881" s="67"/>
      <c r="C881" s="67"/>
      <c r="D881" s="67"/>
      <c r="E881" s="67"/>
      <c r="F881" s="67"/>
      <c r="G881" s="67"/>
      <c r="H881" s="67"/>
      <c r="I881" s="67"/>
    </row>
    <row r="882" ht="13.5" customHeight="1">
      <c r="A882" s="67"/>
      <c r="B882" s="67"/>
      <c r="C882" s="67"/>
      <c r="D882" s="67"/>
      <c r="E882" s="67"/>
      <c r="F882" s="67"/>
      <c r="G882" s="67"/>
      <c r="H882" s="67"/>
      <c r="I882" s="67"/>
    </row>
    <row r="883" ht="13.5" customHeight="1">
      <c r="A883" s="67"/>
      <c r="B883" s="67"/>
      <c r="C883" s="67"/>
      <c r="D883" s="67"/>
      <c r="E883" s="67"/>
      <c r="F883" s="67"/>
      <c r="G883" s="67"/>
      <c r="H883" s="67"/>
      <c r="I883" s="67"/>
    </row>
    <row r="884" ht="13.5" customHeight="1">
      <c r="A884" s="67"/>
      <c r="B884" s="67"/>
      <c r="C884" s="67"/>
      <c r="D884" s="67"/>
      <c r="E884" s="67"/>
      <c r="F884" s="67"/>
      <c r="G884" s="67"/>
      <c r="H884" s="67"/>
      <c r="I884" s="67"/>
    </row>
    <row r="885" ht="13.5" customHeight="1">
      <c r="A885" s="67"/>
      <c r="B885" s="67"/>
      <c r="C885" s="67"/>
      <c r="D885" s="67"/>
      <c r="E885" s="67"/>
      <c r="F885" s="67"/>
      <c r="G885" s="67"/>
      <c r="H885" s="67"/>
      <c r="I885" s="67"/>
    </row>
    <row r="886" ht="13.5" customHeight="1">
      <c r="A886" s="67"/>
      <c r="B886" s="67"/>
      <c r="C886" s="67"/>
      <c r="D886" s="67"/>
      <c r="E886" s="67"/>
      <c r="F886" s="67"/>
      <c r="G886" s="67"/>
      <c r="H886" s="67"/>
      <c r="I886" s="67"/>
    </row>
    <row r="887" ht="13.5" customHeight="1">
      <c r="A887" s="67"/>
      <c r="B887" s="67"/>
      <c r="C887" s="67"/>
      <c r="D887" s="67"/>
      <c r="E887" s="67"/>
      <c r="F887" s="67"/>
      <c r="G887" s="67"/>
      <c r="H887" s="67"/>
      <c r="I887" s="67"/>
    </row>
    <row r="888" ht="13.5" customHeight="1">
      <c r="A888" s="67"/>
      <c r="B888" s="67"/>
      <c r="C888" s="67"/>
      <c r="D888" s="67"/>
      <c r="E888" s="67"/>
      <c r="F888" s="67"/>
      <c r="G888" s="67"/>
      <c r="H888" s="67"/>
      <c r="I888" s="67"/>
    </row>
    <row r="889" ht="13.5" customHeight="1">
      <c r="A889" s="67"/>
      <c r="B889" s="67"/>
      <c r="C889" s="67"/>
      <c r="D889" s="67"/>
      <c r="E889" s="67"/>
      <c r="F889" s="67"/>
      <c r="G889" s="67"/>
      <c r="H889" s="67"/>
      <c r="I889" s="67"/>
    </row>
    <row r="890" ht="13.5" customHeight="1">
      <c r="A890" s="67"/>
      <c r="B890" s="67"/>
      <c r="C890" s="67"/>
      <c r="D890" s="67"/>
      <c r="E890" s="67"/>
      <c r="F890" s="67"/>
      <c r="G890" s="67"/>
      <c r="H890" s="67"/>
      <c r="I890" s="67"/>
    </row>
    <row r="891" ht="13.5" customHeight="1">
      <c r="A891" s="67"/>
      <c r="B891" s="67"/>
      <c r="C891" s="67"/>
      <c r="D891" s="67"/>
      <c r="E891" s="67"/>
      <c r="F891" s="67"/>
      <c r="G891" s="67"/>
      <c r="H891" s="67"/>
      <c r="I891" s="67"/>
    </row>
    <row r="892" ht="13.5" customHeight="1">
      <c r="A892" s="67"/>
      <c r="B892" s="67"/>
      <c r="C892" s="67"/>
      <c r="D892" s="67"/>
      <c r="E892" s="67"/>
      <c r="F892" s="67"/>
      <c r="G892" s="67"/>
      <c r="H892" s="67"/>
      <c r="I892" s="67"/>
    </row>
    <row r="893" ht="13.5" customHeight="1">
      <c r="A893" s="67"/>
      <c r="B893" s="67"/>
      <c r="C893" s="67"/>
      <c r="D893" s="67"/>
      <c r="E893" s="67"/>
      <c r="F893" s="67"/>
      <c r="G893" s="67"/>
      <c r="H893" s="67"/>
      <c r="I893" s="67"/>
    </row>
    <row r="894" ht="13.5" customHeight="1">
      <c r="A894" s="67"/>
      <c r="B894" s="67"/>
      <c r="C894" s="67"/>
      <c r="D894" s="67"/>
      <c r="E894" s="67"/>
      <c r="F894" s="67"/>
      <c r="G894" s="67"/>
      <c r="H894" s="67"/>
      <c r="I894" s="67"/>
    </row>
    <row r="895" ht="13.5" customHeight="1">
      <c r="A895" s="67"/>
      <c r="B895" s="67"/>
      <c r="C895" s="67"/>
      <c r="D895" s="67"/>
      <c r="E895" s="67"/>
      <c r="F895" s="67"/>
      <c r="G895" s="67"/>
      <c r="H895" s="67"/>
      <c r="I895" s="67"/>
    </row>
    <row r="896" ht="13.5" customHeight="1">
      <c r="A896" s="67"/>
      <c r="B896" s="67"/>
      <c r="C896" s="67"/>
      <c r="D896" s="67"/>
      <c r="E896" s="67"/>
      <c r="F896" s="67"/>
      <c r="G896" s="67"/>
      <c r="H896" s="67"/>
      <c r="I896" s="67"/>
    </row>
    <row r="897" ht="13.5" customHeight="1">
      <c r="A897" s="67"/>
      <c r="B897" s="67"/>
      <c r="C897" s="67"/>
      <c r="D897" s="67"/>
      <c r="E897" s="67"/>
      <c r="F897" s="67"/>
      <c r="G897" s="67"/>
      <c r="H897" s="67"/>
      <c r="I897" s="67"/>
    </row>
    <row r="898" ht="13.5" customHeight="1">
      <c r="A898" s="67"/>
      <c r="B898" s="67"/>
      <c r="C898" s="67"/>
      <c r="D898" s="67"/>
      <c r="E898" s="67"/>
      <c r="F898" s="67"/>
      <c r="G898" s="67"/>
      <c r="H898" s="67"/>
      <c r="I898" s="67"/>
    </row>
    <row r="899" ht="13.5" customHeight="1">
      <c r="A899" s="67"/>
      <c r="B899" s="67"/>
      <c r="C899" s="67"/>
      <c r="D899" s="67"/>
      <c r="E899" s="67"/>
      <c r="F899" s="67"/>
      <c r="G899" s="67"/>
      <c r="H899" s="67"/>
      <c r="I899" s="67"/>
    </row>
    <row r="900" ht="13.5" customHeight="1">
      <c r="A900" s="67"/>
      <c r="B900" s="67"/>
      <c r="C900" s="67"/>
      <c r="D900" s="67"/>
      <c r="E900" s="67"/>
      <c r="F900" s="67"/>
      <c r="G900" s="67"/>
      <c r="H900" s="67"/>
      <c r="I900" s="67"/>
    </row>
    <row r="901" ht="13.5" customHeight="1">
      <c r="A901" s="67"/>
      <c r="B901" s="67"/>
      <c r="C901" s="67"/>
      <c r="D901" s="67"/>
      <c r="E901" s="67"/>
      <c r="F901" s="67"/>
      <c r="G901" s="67"/>
      <c r="H901" s="67"/>
      <c r="I901" s="67"/>
    </row>
    <row r="902" ht="13.5" customHeight="1">
      <c r="A902" s="67"/>
      <c r="B902" s="67"/>
      <c r="C902" s="67"/>
      <c r="D902" s="67"/>
      <c r="E902" s="67"/>
      <c r="F902" s="67"/>
      <c r="G902" s="67"/>
      <c r="H902" s="67"/>
      <c r="I902" s="67"/>
    </row>
    <row r="903" ht="13.5" customHeight="1">
      <c r="A903" s="67"/>
      <c r="B903" s="67"/>
      <c r="C903" s="67"/>
      <c r="D903" s="67"/>
      <c r="E903" s="67"/>
      <c r="F903" s="67"/>
      <c r="G903" s="67"/>
      <c r="H903" s="67"/>
      <c r="I903" s="67"/>
    </row>
    <row r="904" ht="13.5" customHeight="1">
      <c r="A904" s="67"/>
      <c r="B904" s="67"/>
      <c r="C904" s="67"/>
      <c r="D904" s="67"/>
      <c r="E904" s="67"/>
      <c r="F904" s="67"/>
      <c r="G904" s="67"/>
      <c r="H904" s="67"/>
      <c r="I904" s="67"/>
    </row>
    <row r="905" ht="13.5" customHeight="1">
      <c r="A905" s="67"/>
      <c r="B905" s="67"/>
      <c r="C905" s="67"/>
      <c r="D905" s="67"/>
      <c r="E905" s="67"/>
      <c r="F905" s="67"/>
      <c r="G905" s="67"/>
      <c r="H905" s="67"/>
      <c r="I905" s="67"/>
    </row>
    <row r="906" ht="13.5" customHeight="1">
      <c r="A906" s="67"/>
      <c r="B906" s="67"/>
      <c r="C906" s="67"/>
      <c r="D906" s="67"/>
      <c r="E906" s="67"/>
      <c r="F906" s="67"/>
      <c r="G906" s="67"/>
      <c r="H906" s="67"/>
      <c r="I906" s="67"/>
    </row>
    <row r="907" ht="13.5" customHeight="1">
      <c r="A907" s="67"/>
      <c r="B907" s="67"/>
      <c r="C907" s="67"/>
      <c r="D907" s="67"/>
      <c r="E907" s="67"/>
      <c r="F907" s="67"/>
      <c r="G907" s="67"/>
      <c r="H907" s="67"/>
      <c r="I907" s="67"/>
    </row>
    <row r="908" ht="13.5" customHeight="1">
      <c r="A908" s="67"/>
      <c r="B908" s="67"/>
      <c r="C908" s="67"/>
      <c r="D908" s="67"/>
      <c r="E908" s="67"/>
      <c r="F908" s="67"/>
      <c r="G908" s="67"/>
      <c r="H908" s="67"/>
      <c r="I908" s="67"/>
    </row>
    <row r="909" ht="13.5" customHeight="1">
      <c r="A909" s="67"/>
      <c r="B909" s="67"/>
      <c r="C909" s="67"/>
      <c r="D909" s="67"/>
      <c r="E909" s="67"/>
      <c r="F909" s="67"/>
      <c r="G909" s="67"/>
      <c r="H909" s="67"/>
      <c r="I909" s="67"/>
    </row>
    <row r="910" ht="13.5" customHeight="1">
      <c r="A910" s="67"/>
      <c r="B910" s="67"/>
      <c r="C910" s="67"/>
      <c r="D910" s="67"/>
      <c r="E910" s="67"/>
      <c r="F910" s="67"/>
      <c r="G910" s="67"/>
      <c r="H910" s="67"/>
      <c r="I910" s="67"/>
    </row>
    <row r="911" ht="13.5" customHeight="1">
      <c r="A911" s="67"/>
      <c r="B911" s="67"/>
      <c r="C911" s="67"/>
      <c r="D911" s="67"/>
      <c r="E911" s="67"/>
      <c r="F911" s="67"/>
      <c r="G911" s="67"/>
      <c r="H911" s="67"/>
      <c r="I911" s="67"/>
    </row>
    <row r="912" ht="13.5" customHeight="1">
      <c r="A912" s="67"/>
      <c r="B912" s="67"/>
      <c r="C912" s="67"/>
      <c r="D912" s="67"/>
      <c r="E912" s="67"/>
      <c r="F912" s="67"/>
      <c r="G912" s="67"/>
      <c r="H912" s="67"/>
      <c r="I912" s="67"/>
    </row>
    <row r="913" ht="13.5" customHeight="1">
      <c r="A913" s="67"/>
      <c r="B913" s="67"/>
      <c r="C913" s="67"/>
      <c r="D913" s="67"/>
      <c r="E913" s="67"/>
      <c r="F913" s="67"/>
      <c r="G913" s="67"/>
      <c r="H913" s="67"/>
      <c r="I913" s="67"/>
    </row>
    <row r="914" ht="13.5" customHeight="1">
      <c r="A914" s="67"/>
      <c r="B914" s="67"/>
      <c r="C914" s="67"/>
      <c r="D914" s="67"/>
      <c r="E914" s="67"/>
      <c r="F914" s="67"/>
      <c r="G914" s="67"/>
      <c r="H914" s="67"/>
      <c r="I914" s="67"/>
    </row>
    <row r="915" ht="13.5" customHeight="1">
      <c r="A915" s="67"/>
      <c r="B915" s="67"/>
      <c r="C915" s="67"/>
      <c r="D915" s="67"/>
      <c r="E915" s="67"/>
      <c r="F915" s="67"/>
      <c r="G915" s="67"/>
      <c r="H915" s="67"/>
      <c r="I915" s="67"/>
    </row>
    <row r="916" ht="13.5" customHeight="1">
      <c r="A916" s="67"/>
      <c r="B916" s="67"/>
      <c r="C916" s="67"/>
      <c r="D916" s="67"/>
      <c r="E916" s="67"/>
      <c r="F916" s="67"/>
      <c r="G916" s="67"/>
      <c r="H916" s="67"/>
      <c r="I916" s="67"/>
    </row>
    <row r="917" ht="13.5" customHeight="1">
      <c r="A917" s="67"/>
      <c r="B917" s="67"/>
      <c r="C917" s="67"/>
      <c r="D917" s="67"/>
      <c r="E917" s="67"/>
      <c r="F917" s="67"/>
      <c r="G917" s="67"/>
      <c r="H917" s="67"/>
      <c r="I917" s="67"/>
    </row>
    <row r="918" ht="13.5" customHeight="1">
      <c r="A918" s="67"/>
      <c r="B918" s="67"/>
      <c r="C918" s="67"/>
      <c r="D918" s="67"/>
      <c r="E918" s="67"/>
      <c r="F918" s="67"/>
      <c r="G918" s="67"/>
      <c r="H918" s="67"/>
      <c r="I918" s="67"/>
    </row>
    <row r="919" ht="13.5" customHeight="1">
      <c r="A919" s="67"/>
      <c r="B919" s="67"/>
      <c r="C919" s="67"/>
      <c r="D919" s="67"/>
      <c r="E919" s="67"/>
      <c r="F919" s="67"/>
      <c r="G919" s="67"/>
      <c r="H919" s="67"/>
      <c r="I919" s="67"/>
    </row>
    <row r="920" ht="13.5" customHeight="1">
      <c r="A920" s="67"/>
      <c r="B920" s="67"/>
      <c r="C920" s="67"/>
      <c r="D920" s="67"/>
      <c r="E920" s="67"/>
      <c r="F920" s="67"/>
      <c r="G920" s="67"/>
      <c r="H920" s="67"/>
      <c r="I920" s="67"/>
    </row>
    <row r="921" ht="13.5" customHeight="1">
      <c r="A921" s="67"/>
      <c r="B921" s="67"/>
      <c r="C921" s="67"/>
      <c r="D921" s="67"/>
      <c r="E921" s="67"/>
      <c r="F921" s="67"/>
      <c r="G921" s="67"/>
      <c r="H921" s="67"/>
      <c r="I921" s="67"/>
    </row>
    <row r="922" ht="13.5" customHeight="1">
      <c r="A922" s="67"/>
      <c r="B922" s="67"/>
      <c r="C922" s="67"/>
      <c r="D922" s="67"/>
      <c r="E922" s="67"/>
      <c r="F922" s="67"/>
      <c r="G922" s="67"/>
      <c r="H922" s="67"/>
      <c r="I922" s="67"/>
    </row>
    <row r="923" ht="13.5" customHeight="1">
      <c r="A923" s="67"/>
      <c r="B923" s="67"/>
      <c r="C923" s="67"/>
      <c r="D923" s="67"/>
      <c r="E923" s="67"/>
      <c r="F923" s="67"/>
      <c r="G923" s="67"/>
      <c r="H923" s="67"/>
      <c r="I923" s="67"/>
    </row>
    <row r="924" ht="13.5" customHeight="1">
      <c r="A924" s="67"/>
      <c r="B924" s="67"/>
      <c r="C924" s="67"/>
      <c r="D924" s="67"/>
      <c r="E924" s="67"/>
      <c r="F924" s="67"/>
      <c r="G924" s="67"/>
      <c r="H924" s="67"/>
      <c r="I924" s="67"/>
    </row>
    <row r="925" ht="13.5" customHeight="1">
      <c r="A925" s="67"/>
      <c r="B925" s="67"/>
      <c r="C925" s="67"/>
      <c r="D925" s="67"/>
      <c r="E925" s="67"/>
      <c r="F925" s="67"/>
      <c r="G925" s="67"/>
      <c r="H925" s="67"/>
      <c r="I925" s="67"/>
    </row>
    <row r="926" ht="13.5" customHeight="1">
      <c r="A926" s="67"/>
      <c r="B926" s="67"/>
      <c r="C926" s="67"/>
      <c r="D926" s="67"/>
      <c r="E926" s="67"/>
      <c r="F926" s="67"/>
      <c r="G926" s="67"/>
      <c r="H926" s="67"/>
      <c r="I926" s="67"/>
    </row>
    <row r="927" ht="13.5" customHeight="1">
      <c r="A927" s="67"/>
      <c r="B927" s="67"/>
      <c r="C927" s="67"/>
      <c r="D927" s="67"/>
      <c r="E927" s="67"/>
      <c r="F927" s="67"/>
      <c r="G927" s="67"/>
      <c r="H927" s="67"/>
      <c r="I927" s="67"/>
    </row>
    <row r="928" ht="13.5" customHeight="1">
      <c r="A928" s="67"/>
      <c r="B928" s="67"/>
      <c r="C928" s="67"/>
      <c r="D928" s="67"/>
      <c r="E928" s="67"/>
      <c r="F928" s="67"/>
      <c r="G928" s="67"/>
      <c r="H928" s="67"/>
      <c r="I928" s="67"/>
    </row>
    <row r="929" ht="13.5" customHeight="1">
      <c r="A929" s="67"/>
      <c r="B929" s="67"/>
      <c r="C929" s="67"/>
      <c r="D929" s="67"/>
      <c r="E929" s="67"/>
      <c r="F929" s="67"/>
      <c r="G929" s="67"/>
      <c r="H929" s="67"/>
      <c r="I929" s="67"/>
    </row>
    <row r="930" ht="13.5" customHeight="1">
      <c r="A930" s="67"/>
      <c r="B930" s="67"/>
      <c r="C930" s="67"/>
      <c r="D930" s="67"/>
      <c r="E930" s="67"/>
      <c r="F930" s="67"/>
      <c r="G930" s="67"/>
      <c r="H930" s="67"/>
      <c r="I930" s="67"/>
    </row>
    <row r="931" ht="13.5" customHeight="1">
      <c r="A931" s="67"/>
      <c r="B931" s="67"/>
      <c r="C931" s="67"/>
      <c r="D931" s="67"/>
      <c r="E931" s="67"/>
      <c r="F931" s="67"/>
      <c r="G931" s="67"/>
      <c r="H931" s="67"/>
      <c r="I931" s="67"/>
    </row>
    <row r="932" ht="13.5" customHeight="1">
      <c r="A932" s="67"/>
      <c r="B932" s="67"/>
      <c r="C932" s="67"/>
      <c r="D932" s="67"/>
      <c r="E932" s="67"/>
      <c r="F932" s="67"/>
      <c r="G932" s="67"/>
      <c r="H932" s="67"/>
      <c r="I932" s="67"/>
    </row>
    <row r="933" ht="13.5" customHeight="1">
      <c r="A933" s="67"/>
      <c r="B933" s="67"/>
      <c r="C933" s="67"/>
      <c r="D933" s="67"/>
      <c r="E933" s="67"/>
      <c r="F933" s="67"/>
      <c r="G933" s="67"/>
      <c r="H933" s="67"/>
      <c r="I933" s="67"/>
    </row>
    <row r="934" ht="13.5" customHeight="1">
      <c r="A934" s="67"/>
      <c r="B934" s="67"/>
      <c r="C934" s="67"/>
      <c r="D934" s="67"/>
      <c r="E934" s="67"/>
      <c r="F934" s="67"/>
      <c r="G934" s="67"/>
      <c r="H934" s="67"/>
      <c r="I934" s="67"/>
    </row>
    <row r="935" ht="13.5" customHeight="1">
      <c r="A935" s="67"/>
      <c r="B935" s="67"/>
      <c r="C935" s="67"/>
      <c r="D935" s="67"/>
      <c r="E935" s="67"/>
      <c r="F935" s="67"/>
      <c r="G935" s="67"/>
      <c r="H935" s="67"/>
      <c r="I935" s="67"/>
    </row>
    <row r="936" ht="13.5" customHeight="1">
      <c r="A936" s="67"/>
      <c r="B936" s="67"/>
      <c r="C936" s="67"/>
      <c r="D936" s="67"/>
      <c r="E936" s="67"/>
      <c r="F936" s="67"/>
      <c r="G936" s="67"/>
      <c r="H936" s="67"/>
      <c r="I936" s="67"/>
    </row>
    <row r="937" ht="13.5" customHeight="1">
      <c r="A937" s="67"/>
      <c r="B937" s="67"/>
      <c r="C937" s="67"/>
      <c r="D937" s="67"/>
      <c r="E937" s="67"/>
      <c r="F937" s="67"/>
      <c r="G937" s="67"/>
      <c r="H937" s="67"/>
      <c r="I937" s="67"/>
    </row>
    <row r="938" ht="13.5" customHeight="1">
      <c r="A938" s="67"/>
      <c r="B938" s="67"/>
      <c r="C938" s="67"/>
      <c r="D938" s="67"/>
      <c r="E938" s="67"/>
      <c r="F938" s="67"/>
      <c r="G938" s="67"/>
      <c r="H938" s="67"/>
      <c r="I938" s="67"/>
    </row>
    <row r="939" ht="13.5" customHeight="1">
      <c r="A939" s="67"/>
      <c r="B939" s="67"/>
      <c r="C939" s="67"/>
      <c r="D939" s="67"/>
      <c r="E939" s="67"/>
      <c r="F939" s="67"/>
      <c r="G939" s="67"/>
      <c r="H939" s="67"/>
      <c r="I939" s="67"/>
    </row>
    <row r="940" ht="13.5" customHeight="1">
      <c r="A940" s="67"/>
      <c r="B940" s="67"/>
      <c r="C940" s="67"/>
      <c r="D940" s="67"/>
      <c r="E940" s="67"/>
      <c r="F940" s="67"/>
      <c r="G940" s="67"/>
      <c r="H940" s="67"/>
      <c r="I940" s="67"/>
    </row>
    <row r="941" ht="13.5" customHeight="1">
      <c r="A941" s="67"/>
      <c r="B941" s="67"/>
      <c r="C941" s="67"/>
      <c r="D941" s="67"/>
      <c r="E941" s="67"/>
      <c r="F941" s="67"/>
      <c r="G941" s="67"/>
      <c r="H941" s="67"/>
      <c r="I941" s="67"/>
    </row>
    <row r="942" ht="13.5" customHeight="1">
      <c r="A942" s="67"/>
      <c r="B942" s="67"/>
      <c r="C942" s="67"/>
      <c r="D942" s="67"/>
      <c r="E942" s="67"/>
      <c r="F942" s="67"/>
      <c r="G942" s="67"/>
      <c r="H942" s="67"/>
      <c r="I942" s="67"/>
    </row>
    <row r="943" ht="13.5" customHeight="1">
      <c r="A943" s="67"/>
      <c r="B943" s="67"/>
      <c r="C943" s="67"/>
      <c r="D943" s="67"/>
      <c r="E943" s="67"/>
      <c r="F943" s="67"/>
      <c r="G943" s="67"/>
      <c r="H943" s="67"/>
      <c r="I943" s="67"/>
    </row>
    <row r="944" ht="13.5" customHeight="1">
      <c r="A944" s="67"/>
      <c r="B944" s="67"/>
      <c r="C944" s="67"/>
      <c r="D944" s="67"/>
      <c r="E944" s="67"/>
      <c r="F944" s="67"/>
      <c r="G944" s="67"/>
      <c r="H944" s="67"/>
      <c r="I944" s="67"/>
    </row>
    <row r="945" ht="13.5" customHeight="1">
      <c r="A945" s="67"/>
      <c r="B945" s="67"/>
      <c r="C945" s="67"/>
      <c r="D945" s="67"/>
      <c r="E945" s="67"/>
      <c r="F945" s="67"/>
      <c r="G945" s="67"/>
      <c r="H945" s="67"/>
      <c r="I945" s="67"/>
    </row>
    <row r="946" ht="13.5" customHeight="1">
      <c r="A946" s="67"/>
      <c r="B946" s="67"/>
      <c r="C946" s="67"/>
      <c r="D946" s="67"/>
      <c r="E946" s="67"/>
      <c r="F946" s="67"/>
      <c r="G946" s="67"/>
      <c r="H946" s="67"/>
      <c r="I946" s="67"/>
    </row>
    <row r="947" ht="13.5" customHeight="1">
      <c r="A947" s="67"/>
      <c r="B947" s="67"/>
      <c r="C947" s="67"/>
      <c r="D947" s="67"/>
      <c r="E947" s="67"/>
      <c r="F947" s="67"/>
      <c r="G947" s="67"/>
      <c r="H947" s="67"/>
      <c r="I947" s="67"/>
    </row>
    <row r="948" ht="13.5" customHeight="1">
      <c r="A948" s="67"/>
      <c r="B948" s="67"/>
      <c r="C948" s="67"/>
      <c r="D948" s="67"/>
      <c r="E948" s="67"/>
      <c r="F948" s="67"/>
      <c r="G948" s="67"/>
      <c r="H948" s="67"/>
      <c r="I948" s="67"/>
    </row>
    <row r="949" ht="13.5" customHeight="1">
      <c r="A949" s="67"/>
      <c r="B949" s="67"/>
      <c r="C949" s="67"/>
      <c r="D949" s="67"/>
      <c r="E949" s="67"/>
      <c r="F949" s="67"/>
      <c r="G949" s="67"/>
      <c r="H949" s="67"/>
      <c r="I949" s="67"/>
    </row>
    <row r="950" ht="13.5" customHeight="1">
      <c r="A950" s="67"/>
      <c r="B950" s="67"/>
      <c r="C950" s="67"/>
      <c r="D950" s="67"/>
      <c r="E950" s="67"/>
      <c r="F950" s="67"/>
      <c r="G950" s="67"/>
      <c r="H950" s="67"/>
      <c r="I950" s="67"/>
    </row>
    <row r="951" ht="13.5" customHeight="1">
      <c r="A951" s="67"/>
      <c r="B951" s="67"/>
      <c r="C951" s="67"/>
      <c r="D951" s="67"/>
      <c r="E951" s="67"/>
      <c r="F951" s="67"/>
      <c r="G951" s="67"/>
      <c r="H951" s="67"/>
      <c r="I951" s="67"/>
    </row>
    <row r="952" ht="13.5" customHeight="1">
      <c r="A952" s="67"/>
      <c r="B952" s="67"/>
      <c r="C952" s="67"/>
      <c r="D952" s="67"/>
      <c r="E952" s="67"/>
      <c r="F952" s="67"/>
      <c r="G952" s="67"/>
      <c r="H952" s="67"/>
      <c r="I952" s="67"/>
    </row>
    <row r="953" ht="13.5" customHeight="1">
      <c r="A953" s="67"/>
      <c r="B953" s="67"/>
      <c r="C953" s="67"/>
      <c r="D953" s="67"/>
      <c r="E953" s="67"/>
      <c r="F953" s="67"/>
      <c r="G953" s="67"/>
      <c r="H953" s="67"/>
      <c r="I953" s="67"/>
    </row>
    <row r="954" ht="13.5" customHeight="1">
      <c r="A954" s="67"/>
      <c r="B954" s="67"/>
      <c r="C954" s="67"/>
      <c r="D954" s="67"/>
      <c r="E954" s="67"/>
      <c r="F954" s="67"/>
      <c r="G954" s="67"/>
      <c r="H954" s="67"/>
      <c r="I954" s="67"/>
    </row>
    <row r="955" ht="13.5" customHeight="1">
      <c r="A955" s="67"/>
      <c r="B955" s="67"/>
      <c r="C955" s="67"/>
      <c r="D955" s="67"/>
      <c r="E955" s="67"/>
      <c r="F955" s="67"/>
      <c r="G955" s="67"/>
      <c r="H955" s="67"/>
      <c r="I955" s="67"/>
    </row>
    <row r="956" ht="13.5" customHeight="1">
      <c r="A956" s="67"/>
      <c r="B956" s="67"/>
      <c r="C956" s="67"/>
      <c r="D956" s="67"/>
      <c r="E956" s="67"/>
      <c r="F956" s="67"/>
      <c r="G956" s="67"/>
      <c r="H956" s="67"/>
      <c r="I956" s="67"/>
    </row>
    <row r="957" ht="13.5" customHeight="1">
      <c r="A957" s="67"/>
      <c r="B957" s="67"/>
      <c r="C957" s="67"/>
      <c r="D957" s="67"/>
      <c r="E957" s="67"/>
      <c r="F957" s="67"/>
      <c r="G957" s="67"/>
      <c r="H957" s="67"/>
      <c r="I957" s="67"/>
    </row>
    <row r="958" ht="13.5" customHeight="1">
      <c r="A958" s="67"/>
      <c r="B958" s="67"/>
      <c r="C958" s="67"/>
      <c r="D958" s="67"/>
      <c r="E958" s="67"/>
      <c r="F958" s="67"/>
      <c r="G958" s="67"/>
      <c r="H958" s="67"/>
      <c r="I958" s="67"/>
    </row>
    <row r="959" ht="13.5" customHeight="1">
      <c r="A959" s="67"/>
      <c r="B959" s="67"/>
      <c r="C959" s="67"/>
      <c r="D959" s="67"/>
      <c r="E959" s="67"/>
      <c r="F959" s="67"/>
      <c r="G959" s="67"/>
      <c r="H959" s="67"/>
      <c r="I959" s="67"/>
    </row>
    <row r="960" ht="13.5" customHeight="1">
      <c r="A960" s="67"/>
      <c r="B960" s="67"/>
      <c r="C960" s="67"/>
      <c r="D960" s="67"/>
      <c r="E960" s="67"/>
      <c r="F960" s="67"/>
      <c r="G960" s="67"/>
      <c r="H960" s="67"/>
      <c r="I960" s="67"/>
    </row>
    <row r="961" ht="13.5" customHeight="1">
      <c r="A961" s="67"/>
      <c r="B961" s="67"/>
      <c r="C961" s="67"/>
      <c r="D961" s="67"/>
      <c r="E961" s="67"/>
      <c r="F961" s="67"/>
      <c r="G961" s="67"/>
      <c r="H961" s="67"/>
      <c r="I961" s="67"/>
    </row>
    <row r="962" ht="13.5" customHeight="1">
      <c r="A962" s="67"/>
      <c r="B962" s="67"/>
      <c r="C962" s="67"/>
      <c r="D962" s="67"/>
      <c r="E962" s="67"/>
      <c r="F962" s="67"/>
      <c r="G962" s="67"/>
      <c r="H962" s="67"/>
      <c r="I962" s="67"/>
    </row>
    <row r="963" ht="13.5" customHeight="1">
      <c r="A963" s="67"/>
      <c r="B963" s="67"/>
      <c r="C963" s="67"/>
      <c r="D963" s="67"/>
      <c r="E963" s="67"/>
      <c r="F963" s="67"/>
      <c r="G963" s="67"/>
      <c r="H963" s="67"/>
      <c r="I963" s="67"/>
    </row>
    <row r="964" ht="13.5" customHeight="1">
      <c r="A964" s="67"/>
      <c r="B964" s="67"/>
      <c r="C964" s="67"/>
      <c r="D964" s="67"/>
      <c r="E964" s="67"/>
      <c r="F964" s="67"/>
      <c r="G964" s="67"/>
      <c r="H964" s="67"/>
      <c r="I964" s="67"/>
    </row>
    <row r="965" ht="13.5" customHeight="1">
      <c r="A965" s="67"/>
      <c r="B965" s="67"/>
      <c r="C965" s="67"/>
      <c r="D965" s="67"/>
      <c r="E965" s="67"/>
      <c r="F965" s="67"/>
      <c r="G965" s="67"/>
      <c r="H965" s="67"/>
      <c r="I965" s="67"/>
    </row>
    <row r="966" ht="13.5" customHeight="1">
      <c r="A966" s="67"/>
      <c r="B966" s="67"/>
      <c r="C966" s="67"/>
      <c r="D966" s="67"/>
      <c r="E966" s="67"/>
      <c r="F966" s="67"/>
      <c r="G966" s="67"/>
      <c r="H966" s="67"/>
      <c r="I966" s="67"/>
    </row>
    <row r="967" ht="13.5" customHeight="1">
      <c r="A967" s="67"/>
      <c r="B967" s="67"/>
      <c r="C967" s="67"/>
      <c r="D967" s="67"/>
      <c r="E967" s="67"/>
      <c r="F967" s="67"/>
      <c r="G967" s="67"/>
      <c r="H967" s="67"/>
      <c r="I967" s="67"/>
    </row>
    <row r="968" ht="13.5" customHeight="1">
      <c r="A968" s="67"/>
      <c r="B968" s="67"/>
      <c r="C968" s="67"/>
      <c r="D968" s="67"/>
      <c r="E968" s="67"/>
      <c r="F968" s="67"/>
      <c r="G968" s="67"/>
      <c r="H968" s="67"/>
      <c r="I968" s="67"/>
    </row>
    <row r="969" ht="13.5" customHeight="1">
      <c r="A969" s="67"/>
      <c r="B969" s="67"/>
      <c r="C969" s="67"/>
      <c r="D969" s="67"/>
      <c r="E969" s="67"/>
      <c r="F969" s="67"/>
      <c r="G969" s="67"/>
      <c r="H969" s="67"/>
      <c r="I969" s="67"/>
    </row>
    <row r="970" ht="13.5" customHeight="1">
      <c r="A970" s="67"/>
      <c r="B970" s="67"/>
      <c r="C970" s="67"/>
      <c r="D970" s="67"/>
      <c r="E970" s="67"/>
      <c r="F970" s="67"/>
      <c r="G970" s="67"/>
      <c r="H970" s="67"/>
      <c r="I970" s="67"/>
    </row>
    <row r="971" ht="13.5" customHeight="1">
      <c r="A971" s="67"/>
      <c r="B971" s="67"/>
      <c r="C971" s="67"/>
      <c r="D971" s="67"/>
      <c r="E971" s="67"/>
      <c r="F971" s="67"/>
      <c r="G971" s="67"/>
      <c r="H971" s="67"/>
      <c r="I971" s="67"/>
    </row>
    <row r="972" ht="13.5" customHeight="1">
      <c r="A972" s="67"/>
      <c r="B972" s="67"/>
      <c r="C972" s="67"/>
      <c r="D972" s="67"/>
      <c r="E972" s="67"/>
      <c r="F972" s="67"/>
      <c r="G972" s="67"/>
      <c r="H972" s="67"/>
      <c r="I972" s="67"/>
    </row>
    <row r="973" ht="13.5" customHeight="1">
      <c r="A973" s="67"/>
      <c r="B973" s="67"/>
      <c r="C973" s="67"/>
      <c r="D973" s="67"/>
      <c r="E973" s="67"/>
      <c r="F973" s="67"/>
      <c r="G973" s="67"/>
      <c r="H973" s="67"/>
      <c r="I973" s="67"/>
    </row>
    <row r="974" ht="13.5" customHeight="1">
      <c r="A974" s="67"/>
      <c r="B974" s="67"/>
      <c r="C974" s="67"/>
      <c r="D974" s="67"/>
      <c r="E974" s="67"/>
      <c r="F974" s="67"/>
      <c r="G974" s="67"/>
      <c r="H974" s="67"/>
      <c r="I974" s="67"/>
    </row>
    <row r="975" ht="13.5" customHeight="1">
      <c r="A975" s="67"/>
      <c r="B975" s="67"/>
      <c r="C975" s="67"/>
      <c r="D975" s="67"/>
      <c r="E975" s="67"/>
      <c r="F975" s="67"/>
      <c r="G975" s="67"/>
      <c r="H975" s="67"/>
      <c r="I975" s="67"/>
    </row>
    <row r="976" ht="13.5" customHeight="1">
      <c r="A976" s="67"/>
      <c r="B976" s="67"/>
      <c r="C976" s="67"/>
      <c r="D976" s="67"/>
      <c r="E976" s="67"/>
      <c r="F976" s="67"/>
      <c r="G976" s="67"/>
      <c r="H976" s="67"/>
      <c r="I976" s="67"/>
    </row>
    <row r="977" ht="13.5" customHeight="1">
      <c r="A977" s="67"/>
      <c r="B977" s="67"/>
      <c r="C977" s="67"/>
      <c r="D977" s="67"/>
      <c r="E977" s="67"/>
      <c r="F977" s="67"/>
      <c r="G977" s="67"/>
      <c r="H977" s="67"/>
      <c r="I977" s="67"/>
    </row>
    <row r="978" ht="13.5" customHeight="1">
      <c r="A978" s="67"/>
      <c r="B978" s="67"/>
      <c r="C978" s="67"/>
      <c r="D978" s="67"/>
      <c r="E978" s="67"/>
      <c r="F978" s="67"/>
      <c r="G978" s="67"/>
      <c r="H978" s="67"/>
      <c r="I978" s="67"/>
    </row>
    <row r="979" ht="13.5" customHeight="1">
      <c r="A979" s="67"/>
      <c r="B979" s="67"/>
      <c r="C979" s="67"/>
      <c r="D979" s="67"/>
      <c r="E979" s="67"/>
      <c r="F979" s="67"/>
      <c r="G979" s="67"/>
      <c r="H979" s="67"/>
      <c r="I979" s="67"/>
    </row>
    <row r="980" ht="13.5" customHeight="1">
      <c r="A980" s="67"/>
      <c r="B980" s="67"/>
      <c r="C980" s="67"/>
      <c r="D980" s="67"/>
      <c r="E980" s="67"/>
      <c r="F980" s="67"/>
      <c r="G980" s="67"/>
      <c r="H980" s="67"/>
      <c r="I980" s="67"/>
    </row>
    <row r="981" ht="13.5" customHeight="1">
      <c r="A981" s="67"/>
      <c r="B981" s="67"/>
      <c r="C981" s="67"/>
      <c r="D981" s="67"/>
      <c r="E981" s="67"/>
      <c r="F981" s="67"/>
      <c r="G981" s="67"/>
      <c r="H981" s="67"/>
      <c r="I981" s="67"/>
    </row>
    <row r="982" ht="13.5" customHeight="1">
      <c r="A982" s="67"/>
      <c r="B982" s="67"/>
      <c r="C982" s="67"/>
      <c r="D982" s="67"/>
      <c r="E982" s="67"/>
      <c r="F982" s="67"/>
      <c r="G982" s="67"/>
      <c r="H982" s="67"/>
      <c r="I982" s="67"/>
    </row>
    <row r="983" ht="13.5" customHeight="1">
      <c r="A983" s="67"/>
      <c r="B983" s="67"/>
      <c r="C983" s="67"/>
      <c r="D983" s="67"/>
      <c r="E983" s="67"/>
      <c r="F983" s="67"/>
      <c r="G983" s="67"/>
      <c r="H983" s="67"/>
      <c r="I983" s="67"/>
    </row>
    <row r="984" ht="13.5" customHeight="1">
      <c r="A984" s="67"/>
      <c r="B984" s="67"/>
      <c r="C984" s="67"/>
      <c r="D984" s="67"/>
      <c r="E984" s="67"/>
      <c r="F984" s="67"/>
      <c r="G984" s="67"/>
      <c r="H984" s="67"/>
      <c r="I984" s="67"/>
    </row>
    <row r="985" ht="13.5" customHeight="1">
      <c r="A985" s="67"/>
      <c r="B985" s="67"/>
      <c r="C985" s="67"/>
      <c r="D985" s="67"/>
      <c r="E985" s="67"/>
      <c r="F985" s="67"/>
      <c r="G985" s="67"/>
      <c r="H985" s="67"/>
      <c r="I985" s="67"/>
    </row>
    <row r="986" ht="13.5" customHeight="1">
      <c r="A986" s="67"/>
      <c r="B986" s="67"/>
      <c r="C986" s="67"/>
      <c r="D986" s="67"/>
      <c r="E986" s="67"/>
      <c r="F986" s="67"/>
      <c r="G986" s="67"/>
      <c r="H986" s="67"/>
      <c r="I986" s="67"/>
    </row>
    <row r="987" ht="13.5" customHeight="1">
      <c r="A987" s="67"/>
      <c r="B987" s="67"/>
      <c r="C987" s="67"/>
      <c r="D987" s="67"/>
      <c r="E987" s="67"/>
      <c r="F987" s="67"/>
      <c r="G987" s="67"/>
      <c r="H987" s="67"/>
      <c r="I987" s="67"/>
    </row>
    <row r="988" ht="13.5" customHeight="1">
      <c r="A988" s="67"/>
      <c r="B988" s="67"/>
      <c r="C988" s="67"/>
      <c r="D988" s="67"/>
      <c r="E988" s="67"/>
      <c r="F988" s="67"/>
      <c r="G988" s="67"/>
      <c r="H988" s="67"/>
      <c r="I988" s="67"/>
    </row>
    <row r="989" ht="13.5" customHeight="1">
      <c r="A989" s="67"/>
      <c r="B989" s="67"/>
      <c r="C989" s="67"/>
      <c r="D989" s="67"/>
      <c r="E989" s="67"/>
      <c r="F989" s="67"/>
      <c r="G989" s="67"/>
      <c r="H989" s="67"/>
      <c r="I989" s="67"/>
    </row>
    <row r="990" ht="13.5" customHeight="1">
      <c r="A990" s="67"/>
      <c r="B990" s="67"/>
      <c r="C990" s="67"/>
      <c r="D990" s="67"/>
      <c r="E990" s="67"/>
      <c r="F990" s="67"/>
      <c r="G990" s="67"/>
      <c r="H990" s="67"/>
      <c r="I990" s="67"/>
    </row>
    <row r="991" ht="13.5" customHeight="1">
      <c r="A991" s="67"/>
      <c r="B991" s="67"/>
      <c r="C991" s="67"/>
      <c r="D991" s="67"/>
      <c r="E991" s="67"/>
      <c r="F991" s="67"/>
      <c r="G991" s="67"/>
      <c r="H991" s="67"/>
      <c r="I991" s="67"/>
    </row>
    <row r="992" ht="13.5" customHeight="1">
      <c r="A992" s="67"/>
      <c r="B992" s="67"/>
      <c r="C992" s="67"/>
      <c r="D992" s="67"/>
      <c r="E992" s="67"/>
      <c r="F992" s="67"/>
      <c r="G992" s="67"/>
      <c r="H992" s="67"/>
      <c r="I992" s="67"/>
    </row>
    <row r="993" ht="13.5" customHeight="1">
      <c r="A993" s="67"/>
      <c r="B993" s="67"/>
      <c r="C993" s="67"/>
      <c r="D993" s="67"/>
      <c r="E993" s="67"/>
      <c r="F993" s="67"/>
      <c r="G993" s="67"/>
      <c r="H993" s="67"/>
      <c r="I993" s="67"/>
    </row>
    <row r="994" ht="13.5" customHeight="1">
      <c r="A994" s="67"/>
      <c r="B994" s="67"/>
      <c r="C994" s="67"/>
      <c r="D994" s="67"/>
      <c r="E994" s="67"/>
      <c r="F994" s="67"/>
      <c r="G994" s="67"/>
      <c r="H994" s="67"/>
      <c r="I994" s="67"/>
    </row>
    <row r="995" ht="13.5" customHeight="1">
      <c r="A995" s="67"/>
      <c r="B995" s="67"/>
      <c r="C995" s="67"/>
      <c r="D995" s="67"/>
      <c r="E995" s="67"/>
      <c r="F995" s="67"/>
      <c r="G995" s="67"/>
      <c r="H995" s="67"/>
      <c r="I995" s="67"/>
    </row>
    <row r="996" ht="13.5" customHeight="1">
      <c r="A996" s="67"/>
      <c r="B996" s="67"/>
      <c r="C996" s="67"/>
      <c r="D996" s="67"/>
      <c r="E996" s="67"/>
      <c r="F996" s="67"/>
      <c r="G996" s="67"/>
      <c r="H996" s="67"/>
      <c r="I996" s="67"/>
    </row>
    <row r="997" ht="13.5" customHeight="1">
      <c r="A997" s="67"/>
      <c r="B997" s="67"/>
      <c r="C997" s="67"/>
      <c r="D997" s="67"/>
      <c r="E997" s="67"/>
      <c r="F997" s="67"/>
      <c r="G997" s="67"/>
      <c r="H997" s="67"/>
      <c r="I997" s="67"/>
    </row>
    <row r="998" ht="13.5" customHeight="1">
      <c r="A998" s="67"/>
      <c r="B998" s="67"/>
      <c r="C998" s="67"/>
      <c r="D998" s="67"/>
      <c r="E998" s="67"/>
      <c r="F998" s="67"/>
      <c r="G998" s="67"/>
      <c r="H998" s="67"/>
      <c r="I998" s="67"/>
    </row>
    <row r="999" ht="13.5" customHeight="1">
      <c r="A999" s="67"/>
      <c r="B999" s="67"/>
      <c r="C999" s="67"/>
      <c r="D999" s="67"/>
      <c r="E999" s="67"/>
      <c r="F999" s="67"/>
      <c r="G999" s="67"/>
      <c r="H999" s="67"/>
      <c r="I999" s="67"/>
    </row>
    <row r="1000" ht="13.5" customHeight="1">
      <c r="A1000" s="67"/>
      <c r="B1000" s="67"/>
      <c r="C1000" s="67"/>
      <c r="D1000" s="67"/>
      <c r="E1000" s="67"/>
      <c r="F1000" s="67"/>
      <c r="G1000" s="67"/>
      <c r="H1000" s="67"/>
      <c r="I1000" s="67"/>
    </row>
  </sheetData>
  <mergeCells count="2">
    <mergeCell ref="A1:I1"/>
    <mergeCell ref="A2:I2"/>
  </mergeCells>
  <dataValidations>
    <dataValidation type="list" allowBlank="1" sqref="G5:G12">
      <formula1>"Chưa bắt đầu,Đang làm,Đã cài,Tạm dừng"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4.0"/>
    <col customWidth="1" min="3" max="3" width="34.0"/>
    <col customWidth="1" min="4" max="4" width="24.0"/>
    <col customWidth="1" min="5" max="5" width="20.0"/>
    <col customWidth="1" min="6" max="8" width="18.0"/>
    <col customWidth="1" min="9" max="9" width="20.0"/>
    <col customWidth="1" min="10" max="10" width="24.0"/>
  </cols>
  <sheetData>
    <row r="1" ht="27.0" customHeight="1">
      <c r="A1" s="38" t="s">
        <v>462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39" t="s">
        <v>463</v>
      </c>
      <c r="B2" s="2"/>
      <c r="C2" s="2"/>
      <c r="D2" s="2"/>
      <c r="E2" s="2"/>
      <c r="F2" s="2"/>
      <c r="G2" s="2"/>
      <c r="H2" s="2"/>
      <c r="I2" s="2"/>
      <c r="J2" s="3"/>
    </row>
    <row r="3" ht="13.5" customHeight="1">
      <c r="A3" s="40"/>
      <c r="B3" s="40"/>
      <c r="C3" s="40"/>
      <c r="D3" s="40"/>
      <c r="E3" s="40"/>
      <c r="F3" s="40"/>
      <c r="G3" s="40"/>
      <c r="H3" s="40"/>
      <c r="I3" s="40"/>
      <c r="J3" s="40"/>
    </row>
    <row r="4" ht="18.75" customHeight="1">
      <c r="A4" s="68" t="s">
        <v>464</v>
      </c>
      <c r="B4" s="68" t="s">
        <v>465</v>
      </c>
      <c r="C4" s="68" t="s">
        <v>466</v>
      </c>
      <c r="D4" s="68" t="s">
        <v>467</v>
      </c>
      <c r="E4" s="68" t="s">
        <v>256</v>
      </c>
      <c r="F4" s="68" t="s">
        <v>468</v>
      </c>
      <c r="G4" s="68" t="s">
        <v>121</v>
      </c>
      <c r="H4" s="68" t="s">
        <v>469</v>
      </c>
      <c r="I4" s="68" t="s">
        <v>470</v>
      </c>
      <c r="J4" s="68" t="s">
        <v>31</v>
      </c>
    </row>
    <row r="5" ht="13.5" customHeight="1">
      <c r="A5" s="45" t="s">
        <v>471</v>
      </c>
      <c r="B5" s="45" t="s">
        <v>472</v>
      </c>
      <c r="C5" s="45" t="s">
        <v>473</v>
      </c>
      <c r="D5" s="45" t="s">
        <v>474</v>
      </c>
      <c r="E5" s="45" t="s">
        <v>475</v>
      </c>
      <c r="F5" s="45"/>
      <c r="G5" s="45" t="s">
        <v>128</v>
      </c>
      <c r="H5" s="45" t="s">
        <v>476</v>
      </c>
      <c r="I5" s="45" t="s">
        <v>477</v>
      </c>
      <c r="J5" s="45"/>
    </row>
    <row r="6" ht="13.5" customHeight="1">
      <c r="A6" s="45" t="s">
        <v>478</v>
      </c>
      <c r="B6" s="45" t="s">
        <v>472</v>
      </c>
      <c r="C6" s="45" t="s">
        <v>479</v>
      </c>
      <c r="D6" s="45" t="s">
        <v>480</v>
      </c>
      <c r="E6" s="45" t="s">
        <v>459</v>
      </c>
      <c r="F6" s="45"/>
      <c r="G6" s="45" t="s">
        <v>128</v>
      </c>
      <c r="H6" s="45" t="s">
        <v>481</v>
      </c>
      <c r="I6" s="45" t="s">
        <v>482</v>
      </c>
      <c r="J6" s="45"/>
    </row>
    <row r="7" ht="13.5" customHeight="1">
      <c r="A7" s="45" t="s">
        <v>483</v>
      </c>
      <c r="B7" s="45" t="s">
        <v>472</v>
      </c>
      <c r="C7" s="45" t="s">
        <v>484</v>
      </c>
      <c r="D7" s="45" t="s">
        <v>485</v>
      </c>
      <c r="E7" s="45" t="s">
        <v>486</v>
      </c>
      <c r="F7" s="45"/>
      <c r="G7" s="45" t="s">
        <v>128</v>
      </c>
      <c r="H7" s="45" t="s">
        <v>487</v>
      </c>
      <c r="I7" s="45" t="s">
        <v>488</v>
      </c>
      <c r="J7" s="45"/>
    </row>
    <row r="8" ht="13.5" customHeight="1">
      <c r="A8" s="45" t="s">
        <v>489</v>
      </c>
      <c r="B8" s="45" t="s">
        <v>472</v>
      </c>
      <c r="C8" s="45" t="s">
        <v>490</v>
      </c>
      <c r="D8" s="45" t="s">
        <v>491</v>
      </c>
      <c r="E8" s="45" t="s">
        <v>142</v>
      </c>
      <c r="F8" s="45"/>
      <c r="G8" s="45" t="s">
        <v>128</v>
      </c>
      <c r="H8" s="45" t="s">
        <v>492</v>
      </c>
      <c r="I8" s="45" t="s">
        <v>493</v>
      </c>
      <c r="J8" s="45"/>
    </row>
    <row r="9" ht="13.5" customHeight="1">
      <c r="A9" s="45" t="s">
        <v>494</v>
      </c>
      <c r="B9" s="45" t="s">
        <v>495</v>
      </c>
      <c r="C9" s="45" t="s">
        <v>496</v>
      </c>
      <c r="D9" s="45" t="s">
        <v>497</v>
      </c>
      <c r="E9" s="45" t="s">
        <v>498</v>
      </c>
      <c r="F9" s="45"/>
      <c r="G9" s="45" t="s">
        <v>128</v>
      </c>
      <c r="H9" s="45" t="s">
        <v>499</v>
      </c>
      <c r="I9" s="45" t="s">
        <v>500</v>
      </c>
      <c r="J9" s="45"/>
    </row>
    <row r="10" ht="13.5" customHeight="1">
      <c r="A10" s="45" t="s">
        <v>501</v>
      </c>
      <c r="B10" s="45" t="s">
        <v>472</v>
      </c>
      <c r="C10" s="45" t="s">
        <v>502</v>
      </c>
      <c r="D10" s="45" t="s">
        <v>503</v>
      </c>
      <c r="E10" s="45" t="s">
        <v>504</v>
      </c>
      <c r="F10" s="45"/>
      <c r="G10" s="45" t="s">
        <v>128</v>
      </c>
      <c r="H10" s="45" t="s">
        <v>505</v>
      </c>
      <c r="I10" s="45" t="s">
        <v>506</v>
      </c>
      <c r="J10" s="45"/>
    </row>
    <row r="11" ht="13.5" customHeight="1">
      <c r="A11" s="45" t="s">
        <v>507</v>
      </c>
      <c r="B11" s="45" t="s">
        <v>472</v>
      </c>
      <c r="C11" s="45" t="s">
        <v>508</v>
      </c>
      <c r="D11" s="45" t="s">
        <v>509</v>
      </c>
      <c r="E11" s="45" t="s">
        <v>510</v>
      </c>
      <c r="F11" s="45"/>
      <c r="G11" s="45" t="s">
        <v>128</v>
      </c>
      <c r="H11" s="45" t="s">
        <v>511</v>
      </c>
      <c r="I11" s="45" t="s">
        <v>512</v>
      </c>
      <c r="J11" s="45"/>
    </row>
    <row r="12" ht="13.5" customHeight="1">
      <c r="A12" s="45" t="s">
        <v>513</v>
      </c>
      <c r="B12" s="45" t="s">
        <v>472</v>
      </c>
      <c r="C12" s="45" t="s">
        <v>514</v>
      </c>
      <c r="D12" s="45" t="s">
        <v>515</v>
      </c>
      <c r="E12" s="45" t="s">
        <v>504</v>
      </c>
      <c r="F12" s="45"/>
      <c r="G12" s="45" t="s">
        <v>128</v>
      </c>
      <c r="H12" s="45" t="s">
        <v>516</v>
      </c>
      <c r="I12" s="45" t="s">
        <v>517</v>
      </c>
      <c r="J12" s="45"/>
    </row>
    <row r="13" ht="13.5" customHeight="1">
      <c r="A13" s="45" t="s">
        <v>518</v>
      </c>
      <c r="B13" s="45" t="s">
        <v>495</v>
      </c>
      <c r="C13" s="45" t="s">
        <v>519</v>
      </c>
      <c r="D13" s="45" t="s">
        <v>520</v>
      </c>
      <c r="E13" s="45" t="s">
        <v>417</v>
      </c>
      <c r="F13" s="45"/>
      <c r="G13" s="45" t="s">
        <v>128</v>
      </c>
      <c r="H13" s="45" t="s">
        <v>521</v>
      </c>
      <c r="I13" s="45" t="s">
        <v>522</v>
      </c>
      <c r="J13" s="45"/>
    </row>
    <row r="14" ht="13.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</row>
    <row r="15" ht="13.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</row>
    <row r="16" ht="13.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</row>
    <row r="17" ht="13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 ht="17.25" customHeight="1">
      <c r="A18" s="69" t="s">
        <v>523</v>
      </c>
      <c r="B18" s="2"/>
      <c r="C18" s="2"/>
      <c r="D18" s="2"/>
      <c r="E18" s="2"/>
      <c r="F18" s="2"/>
      <c r="G18" s="2"/>
      <c r="H18" s="2"/>
      <c r="I18" s="2"/>
      <c r="J18" s="3"/>
    </row>
    <row r="19" ht="13.5" customHeight="1">
      <c r="A19" s="70" t="s">
        <v>524</v>
      </c>
      <c r="B19" s="2"/>
      <c r="C19" s="2"/>
      <c r="D19" s="2"/>
      <c r="E19" s="2"/>
      <c r="F19" s="2"/>
      <c r="G19" s="2"/>
      <c r="H19" s="2"/>
      <c r="I19" s="2"/>
      <c r="J19" s="3"/>
    </row>
    <row r="20" ht="13.5" customHeight="1">
      <c r="A20" s="70" t="s">
        <v>525</v>
      </c>
      <c r="B20" s="2"/>
      <c r="C20" s="2"/>
      <c r="D20" s="2"/>
      <c r="E20" s="2"/>
      <c r="F20" s="2"/>
      <c r="G20" s="2"/>
      <c r="H20" s="2"/>
      <c r="I20" s="2"/>
      <c r="J20" s="3"/>
    </row>
    <row r="21" ht="13.5" customHeight="1">
      <c r="A21" s="70" t="s">
        <v>526</v>
      </c>
      <c r="B21" s="2"/>
      <c r="C21" s="2"/>
      <c r="D21" s="2"/>
      <c r="E21" s="2"/>
      <c r="F21" s="2"/>
      <c r="G21" s="2"/>
      <c r="H21" s="2"/>
      <c r="I21" s="2"/>
      <c r="J21" s="3"/>
    </row>
    <row r="22" ht="13.5" customHeight="1">
      <c r="A22" s="70" t="s">
        <v>527</v>
      </c>
      <c r="B22" s="2"/>
      <c r="C22" s="2"/>
      <c r="D22" s="2"/>
      <c r="E22" s="2"/>
      <c r="F22" s="2"/>
      <c r="G22" s="2"/>
      <c r="H22" s="2"/>
      <c r="I22" s="2"/>
      <c r="J22" s="3"/>
    </row>
    <row r="23" ht="13.5" customHeight="1">
      <c r="A23" s="70" t="s">
        <v>528</v>
      </c>
      <c r="B23" s="2"/>
      <c r="C23" s="2"/>
      <c r="D23" s="2"/>
      <c r="E23" s="2"/>
      <c r="F23" s="2"/>
      <c r="G23" s="2"/>
      <c r="H23" s="2"/>
      <c r="I23" s="2"/>
      <c r="J23" s="3"/>
    </row>
    <row r="24" ht="13.5" customHeight="1">
      <c r="A24" s="70" t="s">
        <v>529</v>
      </c>
      <c r="B24" s="2"/>
      <c r="C24" s="2"/>
      <c r="D24" s="2"/>
      <c r="E24" s="2"/>
      <c r="F24" s="2"/>
      <c r="G24" s="2"/>
      <c r="H24" s="2"/>
      <c r="I24" s="2"/>
      <c r="J24" s="3"/>
    </row>
    <row r="25" ht="13.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</row>
    <row r="26" ht="13.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</row>
    <row r="27" ht="13.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</row>
    <row r="28" ht="13.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</row>
    <row r="29" ht="13.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</row>
    <row r="30" ht="13.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</row>
    <row r="31" ht="13.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</row>
    <row r="32" ht="13.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ht="13.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</row>
    <row r="34" ht="13.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</row>
    <row r="35" ht="13.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</row>
    <row r="36" ht="13.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</row>
    <row r="37" ht="13.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</row>
    <row r="38" ht="13.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</row>
    <row r="39" ht="13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</row>
    <row r="40" ht="13.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</row>
    <row r="41" ht="13.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ht="13.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</row>
    <row r="43" ht="13.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</row>
    <row r="44" ht="13.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</row>
    <row r="45" ht="13.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</row>
    <row r="46" ht="13.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</row>
    <row r="47" ht="13.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</row>
    <row r="48" ht="13.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</row>
    <row r="49" ht="13.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</row>
    <row r="50" ht="13.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</row>
    <row r="51" ht="13.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</row>
    <row r="52" ht="13.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</row>
    <row r="53" ht="13.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</row>
    <row r="54" ht="13.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</row>
    <row r="55" ht="13.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</row>
    <row r="56" ht="13.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</row>
    <row r="57" ht="13.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</row>
    <row r="58" ht="13.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</row>
    <row r="59" ht="13.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</row>
    <row r="60" ht="13.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</row>
    <row r="61" ht="13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</row>
    <row r="62" ht="13.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</row>
    <row r="63" ht="13.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</row>
    <row r="64" ht="13.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</row>
    <row r="65" ht="13.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</row>
    <row r="66" ht="13.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</row>
    <row r="67" ht="13.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</row>
    <row r="68" ht="13.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</row>
    <row r="69" ht="13.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</row>
    <row r="70" ht="13.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</row>
    <row r="71" ht="13.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</row>
    <row r="72" ht="13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</row>
    <row r="73" ht="13.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</row>
    <row r="74" ht="13.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</row>
    <row r="75" ht="13.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</row>
    <row r="76" ht="13.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</row>
    <row r="77" ht="13.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</row>
    <row r="78" ht="13.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</row>
    <row r="79" ht="13.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</row>
    <row r="80" ht="13.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</row>
    <row r="81" ht="13.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</row>
    <row r="82" ht="13.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</row>
    <row r="83" ht="13.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</row>
    <row r="84" ht="13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</row>
    <row r="85" ht="13.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</row>
    <row r="86" ht="13.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</row>
    <row r="87" ht="13.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</row>
    <row r="88" ht="13.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</row>
    <row r="89" ht="13.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</row>
    <row r="90" ht="13.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</row>
    <row r="91" ht="13.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</row>
    <row r="92" ht="13.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</row>
    <row r="93" ht="13.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</row>
    <row r="94" ht="13.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</row>
    <row r="95" ht="13.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</row>
    <row r="96" ht="13.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</row>
    <row r="97" ht="13.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</row>
    <row r="98" ht="13.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</row>
    <row r="99" ht="13.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</row>
    <row r="100" ht="13.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</row>
    <row r="101" ht="13.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</row>
    <row r="102" ht="13.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</row>
    <row r="103" ht="13.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</row>
    <row r="104" ht="13.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</row>
    <row r="105" ht="13.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</row>
    <row r="106" ht="13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</row>
    <row r="107" ht="13.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</row>
    <row r="108" ht="13.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</row>
    <row r="109" ht="13.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</row>
    <row r="110" ht="13.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</row>
    <row r="111" ht="13.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</row>
    <row r="112" ht="13.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</row>
    <row r="113" ht="13.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</row>
    <row r="114" ht="13.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</row>
    <row r="115" ht="13.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</row>
    <row r="116" ht="13.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</row>
    <row r="117" ht="13.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</row>
    <row r="118" ht="13.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</row>
    <row r="119" ht="13.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</row>
    <row r="120" ht="13.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</row>
    <row r="121" ht="13.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</row>
    <row r="122" ht="13.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</row>
    <row r="123" ht="13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</row>
    <row r="124" ht="13.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</row>
    <row r="125" ht="13.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</row>
    <row r="126" ht="13.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ht="13.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</row>
    <row r="128" ht="13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</row>
    <row r="129" ht="13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</row>
    <row r="130" ht="13.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</row>
    <row r="131" ht="13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</row>
    <row r="132" ht="13.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</row>
    <row r="133" ht="13.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</row>
    <row r="134" ht="13.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</row>
    <row r="135" ht="13.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</row>
    <row r="136" ht="13.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ht="13.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</row>
    <row r="138" ht="13.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</row>
    <row r="139" ht="13.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</row>
    <row r="140" ht="13.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</row>
    <row r="141" ht="13.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</row>
    <row r="142" ht="13.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</row>
    <row r="143" ht="13.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</row>
    <row r="144" ht="13.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ht="13.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</row>
    <row r="146" ht="13.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</row>
    <row r="147" ht="13.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</row>
    <row r="148" ht="13.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</row>
    <row r="149" ht="13.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</row>
    <row r="150" ht="13.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</row>
    <row r="151" ht="13.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</row>
    <row r="152" ht="13.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</row>
    <row r="153" ht="13.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ht="13.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</row>
    <row r="155" ht="13.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</row>
    <row r="156" ht="13.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</row>
    <row r="157" ht="13.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</row>
    <row r="158" ht="13.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</row>
    <row r="159" ht="13.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</row>
    <row r="160" ht="13.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</row>
    <row r="161" ht="13.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</row>
    <row r="162" ht="13.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</row>
    <row r="163" ht="13.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</row>
    <row r="164" ht="13.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</row>
    <row r="165" ht="13.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</row>
    <row r="166" ht="13.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</row>
    <row r="167" ht="13.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</row>
    <row r="168" ht="13.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</row>
    <row r="169" ht="13.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</row>
    <row r="170" ht="13.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</row>
    <row r="171" ht="13.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</row>
    <row r="172" ht="13.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</row>
    <row r="173" ht="13.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</row>
    <row r="174" ht="13.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</row>
    <row r="175" ht="13.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</row>
    <row r="176" ht="13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</row>
    <row r="177" ht="13.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</row>
    <row r="178" ht="13.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</row>
    <row r="179" ht="13.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</row>
    <row r="180" ht="13.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</row>
    <row r="181" ht="13.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</row>
    <row r="182" ht="13.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</row>
    <row r="183" ht="13.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</row>
    <row r="184" ht="13.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</row>
    <row r="185" ht="13.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</row>
    <row r="186" ht="13.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</row>
    <row r="187" ht="13.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</row>
    <row r="188" ht="13.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</row>
    <row r="189" ht="13.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</row>
    <row r="190" ht="13.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</row>
    <row r="191" ht="13.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</row>
    <row r="192" ht="13.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</row>
    <row r="193" ht="13.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</row>
    <row r="194" ht="13.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</row>
    <row r="195" ht="13.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</row>
    <row r="196" ht="13.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</row>
    <row r="197" ht="13.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</row>
    <row r="198" ht="13.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</row>
    <row r="199" ht="13.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ht="13.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</row>
    <row r="201" ht="13.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</row>
    <row r="202" ht="13.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</row>
    <row r="203" ht="13.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</row>
    <row r="204" ht="13.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</row>
    <row r="205" ht="13.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</row>
    <row r="206" ht="13.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</row>
    <row r="207" ht="13.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</row>
    <row r="208" ht="13.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</row>
    <row r="209" ht="13.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ht="13.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</row>
    <row r="211" ht="13.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</row>
    <row r="212" ht="13.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</row>
    <row r="213" ht="13.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</row>
    <row r="214" ht="13.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</row>
    <row r="215" ht="13.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</row>
    <row r="216" ht="13.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</row>
    <row r="217" ht="13.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ht="13.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</row>
    <row r="219" ht="13.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</row>
    <row r="220" ht="13.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</row>
    <row r="221" ht="13.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</row>
    <row r="222" ht="13.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</row>
    <row r="223" ht="13.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</row>
    <row r="224" ht="13.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</row>
    <row r="225" ht="13.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</row>
    <row r="226" ht="13.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</row>
    <row r="227" ht="13.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</row>
    <row r="228" ht="13.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</row>
    <row r="229" ht="13.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</row>
    <row r="230" ht="13.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</row>
    <row r="231" ht="13.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</row>
    <row r="232" ht="13.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</row>
    <row r="233" ht="13.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</row>
    <row r="234" ht="13.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</row>
    <row r="235" ht="13.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</row>
    <row r="236" ht="13.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</row>
    <row r="237" ht="13.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</row>
    <row r="238" ht="13.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</row>
    <row r="239" ht="13.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</row>
    <row r="240" ht="13.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</row>
    <row r="241" ht="13.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</row>
    <row r="242" ht="13.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</row>
    <row r="243" ht="13.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</row>
    <row r="244" ht="13.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</row>
    <row r="245" ht="13.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</row>
    <row r="246" ht="13.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</row>
    <row r="247" ht="13.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</row>
    <row r="248" ht="13.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</row>
    <row r="249" ht="13.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</row>
    <row r="250" ht="13.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</row>
    <row r="251" ht="13.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</row>
    <row r="252" ht="13.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</row>
    <row r="253" ht="13.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</row>
    <row r="254" ht="13.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</row>
    <row r="255" ht="13.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</row>
    <row r="256" ht="13.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</row>
    <row r="257" ht="13.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</row>
    <row r="258" ht="13.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</row>
    <row r="259" ht="13.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</row>
    <row r="260" ht="13.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</row>
    <row r="261" ht="13.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</row>
    <row r="262" ht="13.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</row>
    <row r="263" ht="13.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</row>
    <row r="264" ht="13.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</row>
    <row r="265" ht="13.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</row>
    <row r="266" ht="13.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</row>
    <row r="267" ht="13.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</row>
    <row r="268" ht="13.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</row>
    <row r="269" ht="13.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</row>
    <row r="270" ht="13.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</row>
    <row r="271" ht="13.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</row>
    <row r="272" ht="13.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</row>
    <row r="273" ht="13.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</row>
    <row r="274" ht="13.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</row>
    <row r="275" ht="13.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</row>
    <row r="276" ht="13.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</row>
    <row r="277" ht="13.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</row>
    <row r="278" ht="13.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</row>
    <row r="279" ht="13.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</row>
    <row r="280" ht="13.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</row>
    <row r="281" ht="13.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</row>
    <row r="282" ht="13.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</row>
    <row r="283" ht="13.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</row>
    <row r="284" ht="13.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</row>
    <row r="285" ht="13.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</row>
    <row r="286" ht="13.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</row>
    <row r="287" ht="13.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</row>
    <row r="288" ht="13.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</row>
    <row r="289" ht="13.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</row>
    <row r="290" ht="13.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</row>
    <row r="291" ht="13.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</row>
    <row r="292" ht="13.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</row>
    <row r="293" ht="13.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</row>
    <row r="294" ht="13.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</row>
    <row r="295" ht="13.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</row>
    <row r="296" ht="13.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</row>
    <row r="297" ht="13.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</row>
    <row r="298" ht="13.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</row>
    <row r="299" ht="13.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</row>
    <row r="300" ht="13.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</row>
    <row r="301" ht="13.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</row>
    <row r="302" ht="13.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</row>
    <row r="303" ht="13.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</row>
    <row r="304" ht="13.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</row>
    <row r="305" ht="13.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</row>
    <row r="306" ht="13.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</row>
    <row r="307" ht="13.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</row>
    <row r="308" ht="13.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</row>
    <row r="309" ht="13.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</row>
    <row r="310" ht="13.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</row>
    <row r="311" ht="13.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</row>
    <row r="312" ht="13.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</row>
    <row r="313" ht="13.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</row>
    <row r="314" ht="13.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</row>
    <row r="315" ht="13.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</row>
    <row r="316" ht="13.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</row>
    <row r="317" ht="13.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</row>
    <row r="318" ht="13.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</row>
    <row r="319" ht="13.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</row>
    <row r="320" ht="13.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</row>
    <row r="321" ht="13.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</row>
    <row r="322" ht="13.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</row>
    <row r="323" ht="13.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</row>
    <row r="324" ht="13.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</row>
    <row r="325" ht="13.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</row>
    <row r="326" ht="13.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</row>
    <row r="327" ht="13.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</row>
    <row r="328" ht="13.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</row>
    <row r="329" ht="13.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</row>
    <row r="330" ht="13.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</row>
    <row r="331" ht="13.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</row>
    <row r="332" ht="13.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</row>
    <row r="333" ht="13.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</row>
    <row r="334" ht="13.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</row>
    <row r="335" ht="13.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</row>
    <row r="336" ht="13.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</row>
    <row r="337" ht="13.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</row>
    <row r="338" ht="13.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</row>
    <row r="339" ht="13.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</row>
    <row r="340" ht="13.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</row>
    <row r="341" ht="13.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</row>
    <row r="342" ht="13.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</row>
    <row r="343" ht="13.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</row>
    <row r="344" ht="13.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</row>
    <row r="345" ht="13.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</row>
    <row r="346" ht="13.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</row>
    <row r="347" ht="13.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</row>
    <row r="348" ht="13.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</row>
    <row r="349" ht="13.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</row>
    <row r="350" ht="13.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</row>
    <row r="351" ht="13.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</row>
    <row r="352" ht="13.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</row>
    <row r="353" ht="13.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</row>
    <row r="354" ht="13.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</row>
    <row r="355" ht="13.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</row>
    <row r="356" ht="13.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</row>
    <row r="357" ht="13.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</row>
    <row r="358" ht="13.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</row>
    <row r="359" ht="13.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</row>
    <row r="360" ht="13.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</row>
    <row r="361" ht="13.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</row>
    <row r="362" ht="13.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</row>
    <row r="363" ht="13.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</row>
    <row r="364" ht="13.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</row>
    <row r="365" ht="13.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</row>
    <row r="366" ht="13.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</row>
    <row r="367" ht="13.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</row>
    <row r="368" ht="13.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</row>
    <row r="369" ht="13.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</row>
    <row r="370" ht="13.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</row>
    <row r="371" ht="13.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</row>
    <row r="372" ht="13.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</row>
    <row r="373" ht="13.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</row>
    <row r="374" ht="13.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</row>
    <row r="375" ht="13.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</row>
    <row r="376" ht="13.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</row>
    <row r="377" ht="13.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</row>
    <row r="378" ht="13.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</row>
    <row r="379" ht="13.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</row>
    <row r="380" ht="13.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</row>
    <row r="381" ht="13.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</row>
    <row r="382" ht="13.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</row>
    <row r="383" ht="13.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</row>
    <row r="384" ht="13.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</row>
    <row r="385" ht="13.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</row>
    <row r="386" ht="13.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</row>
    <row r="387" ht="13.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</row>
    <row r="388" ht="13.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</row>
    <row r="389" ht="13.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</row>
    <row r="390" ht="13.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</row>
    <row r="391" ht="13.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</row>
    <row r="392" ht="13.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</row>
    <row r="393" ht="13.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</row>
    <row r="394" ht="13.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</row>
    <row r="395" ht="13.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</row>
    <row r="396" ht="13.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</row>
    <row r="397" ht="13.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</row>
    <row r="398" ht="13.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</row>
    <row r="399" ht="13.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</row>
    <row r="400" ht="13.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</row>
    <row r="401" ht="13.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</row>
    <row r="402" ht="13.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</row>
    <row r="403" ht="13.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</row>
    <row r="404" ht="13.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</row>
    <row r="405" ht="13.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</row>
    <row r="406" ht="13.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</row>
    <row r="407" ht="13.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</row>
    <row r="408" ht="13.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</row>
    <row r="409" ht="13.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</row>
    <row r="410" ht="13.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</row>
    <row r="411" ht="13.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</row>
    <row r="412" ht="13.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</row>
    <row r="413" ht="13.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</row>
    <row r="414" ht="13.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</row>
    <row r="415" ht="13.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</row>
    <row r="416" ht="13.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</row>
    <row r="417" ht="13.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</row>
    <row r="418" ht="13.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</row>
    <row r="419" ht="13.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</row>
    <row r="420" ht="13.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</row>
    <row r="421" ht="13.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</row>
    <row r="422" ht="13.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</row>
    <row r="423" ht="13.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</row>
    <row r="424" ht="13.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</row>
    <row r="425" ht="13.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</row>
    <row r="426" ht="13.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</row>
    <row r="427" ht="13.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</row>
    <row r="428" ht="13.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</row>
    <row r="429" ht="13.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</row>
    <row r="430" ht="13.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</row>
    <row r="431" ht="13.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</row>
    <row r="432" ht="13.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</row>
    <row r="433" ht="13.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</row>
    <row r="434" ht="13.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</row>
    <row r="435" ht="13.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</row>
    <row r="436" ht="13.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</row>
    <row r="437" ht="13.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</row>
    <row r="438" ht="13.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</row>
    <row r="439" ht="13.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</row>
    <row r="440" ht="13.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</row>
    <row r="441" ht="13.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</row>
    <row r="442" ht="13.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</row>
    <row r="443" ht="13.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</row>
    <row r="444" ht="13.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</row>
    <row r="445" ht="13.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</row>
    <row r="446" ht="13.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</row>
    <row r="447" ht="13.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</row>
    <row r="448" ht="13.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</row>
    <row r="449" ht="13.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</row>
    <row r="450" ht="13.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</row>
    <row r="451" ht="13.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</row>
    <row r="452" ht="13.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</row>
    <row r="453" ht="13.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</row>
    <row r="454" ht="13.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</row>
    <row r="455" ht="13.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</row>
    <row r="456" ht="13.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</row>
    <row r="457" ht="13.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</row>
    <row r="458" ht="13.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</row>
    <row r="459" ht="13.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</row>
    <row r="460" ht="13.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</row>
    <row r="461" ht="13.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</row>
    <row r="462" ht="13.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</row>
    <row r="463" ht="13.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</row>
    <row r="464" ht="13.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</row>
    <row r="465" ht="13.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</row>
    <row r="466" ht="13.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</row>
    <row r="467" ht="13.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</row>
    <row r="468" ht="13.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</row>
    <row r="469" ht="13.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</row>
    <row r="470" ht="13.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</row>
    <row r="471" ht="13.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</row>
    <row r="472" ht="13.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</row>
    <row r="473" ht="13.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</row>
    <row r="474" ht="13.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</row>
    <row r="475" ht="13.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</row>
    <row r="476" ht="13.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</row>
    <row r="477" ht="13.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</row>
    <row r="478" ht="13.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</row>
    <row r="479" ht="13.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</row>
    <row r="480" ht="13.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</row>
    <row r="481" ht="13.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</row>
    <row r="482" ht="13.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</row>
    <row r="483" ht="13.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</row>
    <row r="484" ht="13.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</row>
    <row r="485" ht="13.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</row>
    <row r="486" ht="13.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</row>
    <row r="487" ht="13.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</row>
    <row r="488" ht="13.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</row>
    <row r="489" ht="13.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</row>
    <row r="490" ht="13.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</row>
    <row r="491" ht="13.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</row>
    <row r="492" ht="13.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</row>
    <row r="493" ht="13.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</row>
    <row r="494" ht="13.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</row>
    <row r="495" ht="13.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</row>
    <row r="496" ht="13.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</row>
    <row r="497" ht="13.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</row>
    <row r="498" ht="13.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</row>
    <row r="499" ht="13.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</row>
    <row r="500" ht="13.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</row>
    <row r="501" ht="13.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</row>
    <row r="502" ht="13.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</row>
    <row r="503" ht="13.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</row>
    <row r="504" ht="13.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</row>
    <row r="505" ht="13.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</row>
    <row r="506" ht="13.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</row>
    <row r="507" ht="13.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</row>
    <row r="508" ht="13.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</row>
    <row r="509" ht="13.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</row>
    <row r="510" ht="13.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</row>
    <row r="511" ht="13.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</row>
    <row r="512" ht="13.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</row>
    <row r="513" ht="13.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</row>
    <row r="514" ht="13.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</row>
    <row r="515" ht="13.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</row>
    <row r="516" ht="13.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</row>
    <row r="517" ht="13.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</row>
    <row r="518" ht="13.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</row>
    <row r="519" ht="13.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</row>
    <row r="520" ht="13.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</row>
    <row r="521" ht="13.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</row>
    <row r="522" ht="13.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</row>
    <row r="523" ht="13.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</row>
    <row r="524" ht="13.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</row>
    <row r="525" ht="13.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</row>
    <row r="526" ht="13.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</row>
    <row r="527" ht="13.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</row>
    <row r="528" ht="13.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</row>
    <row r="529" ht="13.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</row>
    <row r="530" ht="13.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</row>
    <row r="531" ht="13.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</row>
    <row r="532" ht="13.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</row>
    <row r="533" ht="13.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</row>
    <row r="534" ht="13.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</row>
    <row r="535" ht="13.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</row>
    <row r="536" ht="13.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</row>
    <row r="537" ht="13.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</row>
    <row r="538" ht="13.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</row>
    <row r="539" ht="13.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</row>
    <row r="540" ht="13.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</row>
    <row r="541" ht="13.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</row>
    <row r="542" ht="13.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</row>
    <row r="543" ht="13.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</row>
    <row r="544" ht="13.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</row>
    <row r="545" ht="13.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</row>
    <row r="546" ht="13.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</row>
    <row r="547" ht="13.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</row>
    <row r="548" ht="13.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</row>
    <row r="549" ht="13.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</row>
    <row r="550" ht="13.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</row>
    <row r="551" ht="13.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</row>
    <row r="552" ht="13.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</row>
    <row r="553" ht="13.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</row>
    <row r="554" ht="13.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</row>
    <row r="555" ht="13.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</row>
    <row r="556" ht="13.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</row>
    <row r="557" ht="13.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</row>
    <row r="558" ht="13.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</row>
    <row r="559" ht="13.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</row>
    <row r="560" ht="13.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</row>
    <row r="561" ht="13.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</row>
    <row r="562" ht="13.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</row>
    <row r="563" ht="13.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</row>
    <row r="564" ht="13.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</row>
    <row r="565" ht="13.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</row>
    <row r="566" ht="13.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</row>
    <row r="567" ht="13.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</row>
    <row r="568" ht="13.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</row>
    <row r="569" ht="13.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</row>
    <row r="570" ht="13.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</row>
    <row r="571" ht="13.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</row>
    <row r="572" ht="13.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</row>
    <row r="573" ht="13.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</row>
    <row r="574" ht="13.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</row>
    <row r="575" ht="13.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</row>
    <row r="576" ht="13.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</row>
    <row r="577" ht="13.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</row>
    <row r="578" ht="13.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</row>
    <row r="579" ht="13.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</row>
    <row r="580" ht="13.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</row>
    <row r="581" ht="13.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</row>
    <row r="582" ht="13.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</row>
    <row r="583" ht="13.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</row>
    <row r="584" ht="13.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</row>
    <row r="585" ht="13.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</row>
    <row r="586" ht="13.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</row>
    <row r="587" ht="13.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</row>
    <row r="588" ht="13.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</row>
    <row r="589" ht="13.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</row>
    <row r="590" ht="13.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</row>
    <row r="591" ht="13.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</row>
    <row r="592" ht="13.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</row>
    <row r="593" ht="13.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</row>
    <row r="594" ht="13.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</row>
    <row r="595" ht="13.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</row>
    <row r="596" ht="13.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</row>
    <row r="597" ht="13.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</row>
    <row r="598" ht="13.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</row>
    <row r="599" ht="13.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</row>
    <row r="600" ht="13.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</row>
    <row r="601" ht="13.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</row>
    <row r="602" ht="13.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</row>
    <row r="603" ht="13.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</row>
    <row r="604" ht="13.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</row>
    <row r="605" ht="13.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</row>
    <row r="606" ht="13.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</row>
    <row r="607" ht="13.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</row>
    <row r="608" ht="13.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</row>
    <row r="609" ht="13.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</row>
    <row r="610" ht="13.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</row>
    <row r="611" ht="13.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</row>
    <row r="612" ht="13.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</row>
    <row r="613" ht="13.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</row>
    <row r="614" ht="13.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</row>
    <row r="615" ht="13.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</row>
    <row r="616" ht="13.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</row>
    <row r="617" ht="13.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</row>
    <row r="618" ht="13.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</row>
    <row r="619" ht="13.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</row>
    <row r="620" ht="13.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</row>
    <row r="621" ht="13.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</row>
    <row r="622" ht="13.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</row>
    <row r="623" ht="13.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</row>
    <row r="624" ht="13.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</row>
    <row r="625" ht="13.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</row>
    <row r="626" ht="13.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</row>
    <row r="627" ht="13.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</row>
    <row r="628" ht="13.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</row>
    <row r="629" ht="13.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</row>
    <row r="630" ht="13.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</row>
    <row r="631" ht="13.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</row>
    <row r="632" ht="13.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</row>
    <row r="633" ht="13.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</row>
    <row r="634" ht="13.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</row>
    <row r="635" ht="13.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</row>
    <row r="636" ht="13.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</row>
    <row r="637" ht="13.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</row>
    <row r="638" ht="13.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</row>
    <row r="639" ht="13.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</row>
    <row r="640" ht="13.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</row>
    <row r="641" ht="13.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</row>
    <row r="642" ht="13.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</row>
    <row r="643" ht="13.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</row>
    <row r="644" ht="13.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</row>
    <row r="645" ht="13.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</row>
    <row r="646" ht="13.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</row>
    <row r="647" ht="13.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</row>
    <row r="648" ht="13.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</row>
    <row r="649" ht="13.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</row>
    <row r="650" ht="13.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</row>
    <row r="651" ht="13.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</row>
    <row r="652" ht="13.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</row>
    <row r="653" ht="13.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</row>
    <row r="654" ht="13.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</row>
    <row r="655" ht="13.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</row>
    <row r="656" ht="13.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</row>
    <row r="657" ht="13.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</row>
    <row r="658" ht="13.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</row>
    <row r="659" ht="13.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</row>
    <row r="660" ht="13.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</row>
    <row r="661" ht="13.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</row>
    <row r="662" ht="13.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</row>
    <row r="663" ht="13.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</row>
    <row r="664" ht="13.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</row>
    <row r="665" ht="13.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</row>
    <row r="666" ht="13.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</row>
    <row r="667" ht="13.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</row>
    <row r="668" ht="13.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</row>
    <row r="669" ht="13.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</row>
    <row r="670" ht="13.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</row>
    <row r="671" ht="13.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</row>
    <row r="672" ht="13.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</row>
    <row r="673" ht="13.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</row>
    <row r="674" ht="13.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</row>
    <row r="675" ht="13.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</row>
    <row r="676" ht="13.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</row>
    <row r="677" ht="13.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</row>
    <row r="678" ht="13.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</row>
    <row r="679" ht="13.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</row>
    <row r="680" ht="13.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</row>
    <row r="681" ht="13.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</row>
    <row r="682" ht="13.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</row>
    <row r="683" ht="13.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</row>
    <row r="684" ht="13.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</row>
    <row r="685" ht="13.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</row>
    <row r="686" ht="13.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</row>
    <row r="687" ht="13.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</row>
    <row r="688" ht="13.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</row>
    <row r="689" ht="13.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</row>
    <row r="690" ht="13.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</row>
    <row r="691" ht="13.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</row>
    <row r="692" ht="13.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</row>
    <row r="693" ht="13.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</row>
    <row r="694" ht="13.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</row>
    <row r="695" ht="13.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</row>
    <row r="696" ht="13.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</row>
    <row r="697" ht="13.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</row>
    <row r="698" ht="13.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</row>
    <row r="699" ht="13.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</row>
    <row r="700" ht="13.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</row>
    <row r="701" ht="13.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</row>
    <row r="702" ht="13.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</row>
    <row r="703" ht="13.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</row>
    <row r="704" ht="13.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</row>
    <row r="705" ht="13.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</row>
    <row r="706" ht="13.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</row>
    <row r="707" ht="13.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</row>
    <row r="708" ht="13.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</row>
    <row r="709" ht="13.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</row>
    <row r="710" ht="13.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</row>
    <row r="711" ht="13.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</row>
    <row r="712" ht="13.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</row>
    <row r="713" ht="13.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</row>
    <row r="714" ht="13.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</row>
    <row r="715" ht="13.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</row>
    <row r="716" ht="13.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</row>
    <row r="717" ht="13.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</row>
    <row r="718" ht="13.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</row>
    <row r="719" ht="13.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</row>
    <row r="720" ht="13.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</row>
    <row r="721" ht="13.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</row>
    <row r="722" ht="13.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</row>
    <row r="723" ht="13.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</row>
    <row r="724" ht="13.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</row>
    <row r="725" ht="13.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</row>
    <row r="726" ht="13.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</row>
    <row r="727" ht="13.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</row>
    <row r="728" ht="13.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</row>
    <row r="729" ht="13.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</row>
    <row r="730" ht="13.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</row>
    <row r="731" ht="13.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</row>
    <row r="732" ht="13.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</row>
    <row r="733" ht="13.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</row>
    <row r="734" ht="13.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</row>
    <row r="735" ht="13.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</row>
    <row r="736" ht="13.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</row>
    <row r="737" ht="13.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</row>
    <row r="738" ht="13.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</row>
    <row r="739" ht="13.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</row>
    <row r="740" ht="13.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</row>
    <row r="741" ht="13.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</row>
    <row r="742" ht="13.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</row>
    <row r="743" ht="13.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</row>
    <row r="744" ht="13.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</row>
    <row r="745" ht="13.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</row>
    <row r="746" ht="13.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</row>
    <row r="747" ht="13.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</row>
    <row r="748" ht="13.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</row>
    <row r="749" ht="13.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</row>
    <row r="750" ht="13.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</row>
    <row r="751" ht="13.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</row>
    <row r="752" ht="13.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</row>
    <row r="753" ht="13.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</row>
    <row r="754" ht="13.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</row>
    <row r="755" ht="13.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</row>
    <row r="756" ht="13.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</row>
    <row r="757" ht="13.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</row>
    <row r="758" ht="13.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</row>
    <row r="759" ht="13.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</row>
    <row r="760" ht="13.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</row>
    <row r="761" ht="13.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</row>
    <row r="762" ht="13.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</row>
    <row r="763" ht="13.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</row>
    <row r="764" ht="13.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</row>
    <row r="765" ht="13.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</row>
    <row r="766" ht="13.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</row>
    <row r="767" ht="13.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</row>
    <row r="768" ht="13.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</row>
    <row r="769" ht="13.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</row>
    <row r="770" ht="13.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</row>
    <row r="771" ht="13.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</row>
    <row r="772" ht="13.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</row>
    <row r="773" ht="13.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</row>
    <row r="774" ht="13.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</row>
    <row r="775" ht="13.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</row>
    <row r="776" ht="13.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</row>
    <row r="777" ht="13.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</row>
    <row r="778" ht="13.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</row>
    <row r="779" ht="13.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</row>
    <row r="780" ht="13.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</row>
    <row r="781" ht="13.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</row>
    <row r="782" ht="13.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</row>
    <row r="783" ht="13.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</row>
    <row r="784" ht="13.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</row>
    <row r="785" ht="13.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</row>
    <row r="786" ht="13.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</row>
    <row r="787" ht="13.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</row>
    <row r="788" ht="13.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</row>
    <row r="789" ht="13.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</row>
    <row r="790" ht="13.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</row>
    <row r="791" ht="13.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</row>
    <row r="792" ht="13.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</row>
    <row r="793" ht="13.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</row>
    <row r="794" ht="13.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</row>
    <row r="795" ht="13.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</row>
    <row r="796" ht="13.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</row>
    <row r="797" ht="13.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</row>
    <row r="798" ht="13.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</row>
    <row r="799" ht="13.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</row>
    <row r="800" ht="13.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</row>
    <row r="801" ht="13.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</row>
    <row r="802" ht="13.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</row>
    <row r="803" ht="13.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</row>
    <row r="804" ht="13.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</row>
    <row r="805" ht="13.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</row>
    <row r="806" ht="13.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</row>
    <row r="807" ht="13.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</row>
    <row r="808" ht="13.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</row>
    <row r="809" ht="13.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</row>
    <row r="810" ht="13.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</row>
    <row r="811" ht="13.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</row>
    <row r="812" ht="13.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</row>
    <row r="813" ht="13.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</row>
    <row r="814" ht="13.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</row>
    <row r="815" ht="13.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</row>
    <row r="816" ht="13.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</row>
    <row r="817" ht="13.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</row>
    <row r="818" ht="13.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</row>
    <row r="819" ht="13.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</row>
    <row r="820" ht="13.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</row>
    <row r="821" ht="13.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</row>
    <row r="822" ht="13.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</row>
    <row r="823" ht="13.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</row>
    <row r="824" ht="13.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</row>
    <row r="825" ht="13.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</row>
    <row r="826" ht="13.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</row>
    <row r="827" ht="13.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</row>
    <row r="828" ht="13.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</row>
    <row r="829" ht="13.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</row>
    <row r="830" ht="13.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</row>
    <row r="831" ht="13.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</row>
    <row r="832" ht="13.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</row>
    <row r="833" ht="13.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</row>
    <row r="834" ht="13.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</row>
    <row r="835" ht="13.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</row>
    <row r="836" ht="13.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</row>
    <row r="837" ht="13.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</row>
    <row r="838" ht="13.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</row>
    <row r="839" ht="13.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</row>
    <row r="840" ht="13.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</row>
    <row r="841" ht="13.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</row>
    <row r="842" ht="13.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</row>
    <row r="843" ht="13.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</row>
    <row r="844" ht="13.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</row>
    <row r="845" ht="13.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</row>
    <row r="846" ht="13.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</row>
    <row r="847" ht="13.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</row>
    <row r="848" ht="13.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</row>
    <row r="849" ht="13.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</row>
    <row r="850" ht="13.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</row>
    <row r="851" ht="13.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</row>
    <row r="852" ht="13.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</row>
    <row r="853" ht="13.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</row>
    <row r="854" ht="13.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</row>
    <row r="855" ht="13.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</row>
    <row r="856" ht="13.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</row>
    <row r="857" ht="13.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</row>
    <row r="858" ht="13.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</row>
    <row r="859" ht="13.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</row>
    <row r="860" ht="13.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</row>
    <row r="861" ht="13.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</row>
    <row r="862" ht="13.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</row>
    <row r="863" ht="13.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</row>
    <row r="864" ht="13.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</row>
    <row r="865" ht="13.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</row>
    <row r="866" ht="13.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</row>
    <row r="867" ht="13.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</row>
    <row r="868" ht="13.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</row>
    <row r="869" ht="13.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</row>
    <row r="870" ht="13.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</row>
    <row r="871" ht="13.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</row>
    <row r="872" ht="13.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</row>
    <row r="873" ht="13.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</row>
    <row r="874" ht="13.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</row>
    <row r="875" ht="13.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</row>
    <row r="876" ht="13.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</row>
    <row r="877" ht="13.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</row>
    <row r="878" ht="13.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</row>
    <row r="879" ht="13.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</row>
    <row r="880" ht="13.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</row>
    <row r="881" ht="13.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</row>
    <row r="882" ht="13.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</row>
    <row r="883" ht="13.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</row>
    <row r="884" ht="13.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</row>
    <row r="885" ht="13.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</row>
    <row r="886" ht="13.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</row>
    <row r="887" ht="13.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</row>
    <row r="888" ht="13.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</row>
    <row r="889" ht="13.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</row>
    <row r="890" ht="13.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</row>
    <row r="891" ht="13.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</row>
    <row r="892" ht="13.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</row>
    <row r="893" ht="13.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</row>
    <row r="894" ht="13.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</row>
    <row r="895" ht="13.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</row>
    <row r="896" ht="13.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</row>
    <row r="897" ht="13.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</row>
    <row r="898" ht="13.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</row>
    <row r="899" ht="13.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</row>
    <row r="900" ht="13.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</row>
    <row r="901" ht="13.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</row>
    <row r="902" ht="13.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</row>
    <row r="903" ht="13.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</row>
    <row r="904" ht="13.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</row>
    <row r="905" ht="13.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</row>
    <row r="906" ht="13.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</row>
    <row r="907" ht="13.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</row>
    <row r="908" ht="13.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</row>
    <row r="909" ht="13.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</row>
    <row r="910" ht="13.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</row>
    <row r="911" ht="13.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</row>
    <row r="912" ht="13.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</row>
    <row r="913" ht="13.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</row>
    <row r="914" ht="13.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</row>
    <row r="915" ht="13.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</row>
    <row r="916" ht="13.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</row>
    <row r="917" ht="13.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</row>
    <row r="918" ht="13.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</row>
    <row r="919" ht="13.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</row>
    <row r="920" ht="13.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</row>
    <row r="921" ht="13.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</row>
    <row r="922" ht="13.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</row>
    <row r="923" ht="13.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</row>
    <row r="924" ht="13.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</row>
    <row r="925" ht="13.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</row>
    <row r="926" ht="13.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</row>
    <row r="927" ht="13.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</row>
    <row r="928" ht="13.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</row>
    <row r="929" ht="13.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</row>
    <row r="930" ht="13.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</row>
    <row r="931" ht="13.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</row>
    <row r="932" ht="13.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</row>
    <row r="933" ht="13.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</row>
    <row r="934" ht="13.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</row>
    <row r="935" ht="13.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</row>
    <row r="936" ht="13.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</row>
    <row r="937" ht="13.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</row>
    <row r="938" ht="13.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</row>
    <row r="939" ht="13.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</row>
    <row r="940" ht="13.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</row>
    <row r="941" ht="13.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</row>
    <row r="942" ht="13.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</row>
    <row r="943" ht="13.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</row>
    <row r="944" ht="13.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</row>
    <row r="945" ht="13.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</row>
    <row r="946" ht="13.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</row>
    <row r="947" ht="13.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</row>
    <row r="948" ht="13.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</row>
    <row r="949" ht="13.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</row>
    <row r="950" ht="13.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</row>
    <row r="951" ht="13.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</row>
    <row r="952" ht="13.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</row>
    <row r="953" ht="13.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</row>
    <row r="954" ht="13.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</row>
    <row r="955" ht="13.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</row>
    <row r="956" ht="13.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</row>
    <row r="957" ht="13.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</row>
    <row r="958" ht="13.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</row>
    <row r="959" ht="13.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</row>
    <row r="960" ht="13.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</row>
    <row r="961" ht="13.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</row>
    <row r="962" ht="13.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</row>
    <row r="963" ht="13.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</row>
    <row r="964" ht="13.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</row>
    <row r="965" ht="13.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</row>
    <row r="966" ht="13.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</row>
    <row r="967" ht="13.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</row>
    <row r="968" ht="13.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</row>
    <row r="969" ht="13.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</row>
    <row r="970" ht="13.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</row>
    <row r="971" ht="13.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</row>
    <row r="972" ht="13.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</row>
    <row r="973" ht="13.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</row>
    <row r="974" ht="13.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</row>
    <row r="975" ht="13.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</row>
    <row r="976" ht="13.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</row>
    <row r="977" ht="13.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</row>
    <row r="978" ht="13.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</row>
    <row r="979" ht="13.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</row>
    <row r="980" ht="13.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</row>
    <row r="981" ht="13.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</row>
    <row r="982" ht="13.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</row>
    <row r="983" ht="13.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</row>
    <row r="984" ht="13.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</row>
    <row r="985" ht="13.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</row>
    <row r="986" ht="13.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</row>
    <row r="987" ht="13.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</row>
    <row r="988" ht="13.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</row>
    <row r="989" ht="13.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</row>
    <row r="990" ht="13.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</row>
    <row r="991" ht="13.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</row>
    <row r="992" ht="13.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</row>
    <row r="993" ht="13.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</row>
    <row r="994" ht="13.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</row>
    <row r="995" ht="13.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</row>
    <row r="996" ht="13.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</row>
    <row r="997" ht="13.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</row>
    <row r="998" ht="13.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</row>
    <row r="999" ht="13.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</row>
    <row r="1000" ht="13.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</row>
  </sheetData>
  <mergeCells count="9">
    <mergeCell ref="A23:J23"/>
    <mergeCell ref="A24:J24"/>
    <mergeCell ref="A1:J1"/>
    <mergeCell ref="A2:J2"/>
    <mergeCell ref="A18:J18"/>
    <mergeCell ref="A19:J19"/>
    <mergeCell ref="A20:J20"/>
    <mergeCell ref="A21:J21"/>
    <mergeCell ref="A22:J22"/>
  </mergeCells>
  <conditionalFormatting sqref="B5:B14">
    <cfRule type="expression" dxfId="6" priority="1">
      <formula>B5="Cao"</formula>
    </cfRule>
  </conditionalFormatting>
  <conditionalFormatting sqref="B5:B14">
    <cfRule type="expression" dxfId="5" priority="2">
      <formula>B5="Trung bình"</formula>
    </cfRule>
  </conditionalFormatting>
  <conditionalFormatting sqref="G5:G14">
    <cfRule type="expression" dxfId="4" priority="3">
      <formula>G5="Đã khóa"</formula>
    </cfRule>
  </conditionalFormatting>
  <dataValidations>
    <dataValidation type="list" allowBlank="1" sqref="G5:G14">
      <formula1>"Chưa bắt đầu,Đang xử lý,Đã khóa,Theo dõi"</formula1>
    </dataValidation>
    <dataValidation type="list" allowBlank="1" sqref="B5:B14">
      <formula1>"Cao,Trung bình,Thấp"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2.0"/>
    <col customWidth="1" min="7" max="26" width="8.63"/>
  </cols>
  <sheetData>
    <row r="1" ht="27.0" customHeight="1">
      <c r="A1" s="1" t="s">
        <v>530</v>
      </c>
      <c r="B1" s="2"/>
      <c r="C1" s="2"/>
      <c r="D1" s="2"/>
      <c r="E1" s="2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ht="21.75" customHeight="1">
      <c r="A2" s="6" t="s">
        <v>531</v>
      </c>
      <c r="B2" s="2"/>
      <c r="C2" s="2"/>
      <c r="D2" s="2"/>
      <c r="E2" s="2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ht="13.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ht="18.75" customHeight="1">
      <c r="A4" s="52" t="s">
        <v>532</v>
      </c>
      <c r="B4" s="52" t="s">
        <v>533</v>
      </c>
      <c r="C4" s="52" t="s">
        <v>534</v>
      </c>
      <c r="D4" s="52" t="s">
        <v>535</v>
      </c>
      <c r="E4" s="52" t="s">
        <v>256</v>
      </c>
      <c r="F4" s="52" t="s">
        <v>536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ht="13.5" customHeight="1">
      <c r="A5" s="56" t="s">
        <v>128</v>
      </c>
      <c r="B5" s="56" t="s">
        <v>537</v>
      </c>
      <c r="C5" s="56" t="s">
        <v>128</v>
      </c>
      <c r="D5" s="56" t="s">
        <v>472</v>
      </c>
      <c r="E5" s="56" t="s">
        <v>459</v>
      </c>
      <c r="F5" s="56" t="s">
        <v>83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6" ht="13.5" customHeight="1">
      <c r="A6" s="56" t="s">
        <v>538</v>
      </c>
      <c r="B6" s="56" t="s">
        <v>539</v>
      </c>
      <c r="C6" s="56" t="s">
        <v>538</v>
      </c>
      <c r="D6" s="56" t="s">
        <v>495</v>
      </c>
      <c r="E6" s="56" t="s">
        <v>438</v>
      </c>
      <c r="F6" s="56" t="s">
        <v>88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ht="13.5" customHeight="1">
      <c r="A7" s="56" t="s">
        <v>540</v>
      </c>
      <c r="B7" s="56" t="s">
        <v>541</v>
      </c>
      <c r="C7" s="56" t="s">
        <v>542</v>
      </c>
      <c r="D7" s="56" t="s">
        <v>543</v>
      </c>
      <c r="E7" s="56" t="s">
        <v>504</v>
      </c>
      <c r="F7" s="56" t="s">
        <v>93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ht="13.5" customHeight="1">
      <c r="A8" s="56" t="s">
        <v>544</v>
      </c>
      <c r="B8" s="56" t="s">
        <v>545</v>
      </c>
      <c r="C8" s="56" t="s">
        <v>546</v>
      </c>
      <c r="D8" s="56"/>
      <c r="E8" s="56" t="s">
        <v>417</v>
      </c>
      <c r="F8" s="56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ht="13.5" customHeight="1">
      <c r="A9" s="56" t="s">
        <v>547</v>
      </c>
      <c r="B9" s="56" t="s">
        <v>548</v>
      </c>
      <c r="C9" s="56" t="s">
        <v>544</v>
      </c>
      <c r="D9" s="56"/>
      <c r="E9" s="56" t="s">
        <v>549</v>
      </c>
      <c r="F9" s="56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ht="13.5" customHeight="1">
      <c r="A10" s="56" t="s">
        <v>550</v>
      </c>
      <c r="B10" s="56" t="s">
        <v>551</v>
      </c>
      <c r="C10" s="56"/>
      <c r="D10" s="56"/>
      <c r="E10" s="56" t="s">
        <v>552</v>
      </c>
      <c r="F10" s="56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ht="13.5" customHeight="1">
      <c r="A11" s="56" t="s">
        <v>553</v>
      </c>
      <c r="B11" s="56" t="s">
        <v>554</v>
      </c>
      <c r="C11" s="56"/>
      <c r="D11" s="56"/>
      <c r="E11" s="56" t="s">
        <v>431</v>
      </c>
      <c r="F11" s="56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ht="13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ht="13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ht="13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ht="13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ht="13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ht="13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ht="13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ht="13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ht="13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ht="13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ht="13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0.0"/>
    <col customWidth="1" min="3" max="3" width="26.0"/>
    <col customWidth="1" min="4" max="4" width="36.0"/>
    <col customWidth="1" min="5" max="5" width="28.0"/>
    <col customWidth="1" min="6" max="6" width="22.0"/>
    <col customWidth="1" min="7" max="7" width="20.0"/>
    <col customWidth="1" min="8" max="8" width="28.0"/>
    <col customWidth="1" min="9" max="12" width="5.0"/>
    <col customWidth="1" min="13" max="26" width="8.63"/>
  </cols>
  <sheetData>
    <row r="1" ht="24.0" customHeight="1">
      <c r="A1" s="71" t="s">
        <v>555</v>
      </c>
    </row>
    <row r="2" ht="24.0" customHeight="1">
      <c r="A2" s="72" t="s">
        <v>556</v>
      </c>
    </row>
    <row r="3" ht="24.0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>
      <c r="A4" s="74" t="s">
        <v>557</v>
      </c>
    </row>
    <row r="5">
      <c r="A5" s="75" t="s">
        <v>558</v>
      </c>
      <c r="B5" s="73" t="s">
        <v>559</v>
      </c>
      <c r="C5" s="75" t="s">
        <v>560</v>
      </c>
      <c r="D5" s="73" t="s">
        <v>561</v>
      </c>
      <c r="E5" s="73"/>
      <c r="F5" s="73"/>
      <c r="G5" s="73"/>
      <c r="H5" s="73"/>
      <c r="I5" s="73"/>
      <c r="J5" s="73"/>
      <c r="K5" s="73"/>
      <c r="L5" s="73"/>
    </row>
    <row r="6">
      <c r="A6" s="75" t="s">
        <v>562</v>
      </c>
      <c r="B6" s="73" t="s">
        <v>66</v>
      </c>
      <c r="C6" s="75" t="s">
        <v>30</v>
      </c>
      <c r="D6" s="73" t="s">
        <v>563</v>
      </c>
      <c r="E6" s="73"/>
      <c r="F6" s="73"/>
      <c r="G6" s="73"/>
      <c r="H6" s="73"/>
      <c r="I6" s="73"/>
      <c r="J6" s="73"/>
      <c r="K6" s="73"/>
      <c r="L6" s="73"/>
    </row>
    <row r="7">
      <c r="A7" s="75" t="s">
        <v>564</v>
      </c>
      <c r="B7" s="73" t="s">
        <v>72</v>
      </c>
      <c r="C7" s="75" t="s">
        <v>30</v>
      </c>
      <c r="D7" s="73" t="s">
        <v>565</v>
      </c>
      <c r="E7" s="73"/>
      <c r="F7" s="73"/>
      <c r="G7" s="73"/>
      <c r="H7" s="73"/>
      <c r="I7" s="73"/>
      <c r="J7" s="73"/>
      <c r="K7" s="73"/>
      <c r="L7" s="73"/>
    </row>
    <row r="8">
      <c r="A8" s="75" t="s">
        <v>566</v>
      </c>
      <c r="B8" s="73" t="s">
        <v>567</v>
      </c>
      <c r="C8" s="75" t="s">
        <v>568</v>
      </c>
      <c r="D8" s="73" t="s">
        <v>569</v>
      </c>
      <c r="E8" s="73"/>
      <c r="F8" s="73"/>
      <c r="G8" s="73"/>
      <c r="H8" s="73"/>
      <c r="I8" s="73"/>
      <c r="J8" s="73"/>
      <c r="K8" s="73"/>
      <c r="L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>
      <c r="A10" s="74" t="s">
        <v>570</v>
      </c>
    </row>
    <row r="11">
      <c r="A11" s="76" t="s">
        <v>571</v>
      </c>
      <c r="B11" s="76" t="s">
        <v>572</v>
      </c>
      <c r="C11" s="76" t="s">
        <v>573</v>
      </c>
      <c r="D11" s="76" t="s">
        <v>574</v>
      </c>
      <c r="E11" s="76" t="s">
        <v>575</v>
      </c>
      <c r="F11" s="76" t="s">
        <v>576</v>
      </c>
      <c r="G11" s="76" t="s">
        <v>577</v>
      </c>
      <c r="H11" s="76" t="s">
        <v>31</v>
      </c>
      <c r="I11" s="73"/>
      <c r="J11" s="73"/>
      <c r="K11" s="73"/>
      <c r="L11" s="73"/>
    </row>
    <row r="12">
      <c r="A12" s="73" t="s">
        <v>578</v>
      </c>
      <c r="B12" s="73" t="s">
        <v>579</v>
      </c>
      <c r="C12" s="73" t="s">
        <v>580</v>
      </c>
      <c r="D12" s="73" t="s">
        <v>581</v>
      </c>
      <c r="E12" s="73" t="s">
        <v>582</v>
      </c>
      <c r="F12" s="73" t="s">
        <v>583</v>
      </c>
      <c r="G12" s="73" t="s">
        <v>584</v>
      </c>
      <c r="H12" s="73" t="s">
        <v>585</v>
      </c>
      <c r="I12" s="73"/>
      <c r="J12" s="73"/>
      <c r="K12" s="73"/>
      <c r="L12" s="73"/>
    </row>
    <row r="13">
      <c r="A13" s="73" t="s">
        <v>586</v>
      </c>
      <c r="B13" s="73" t="s">
        <v>587</v>
      </c>
      <c r="C13" s="73" t="s">
        <v>588</v>
      </c>
      <c r="D13" s="73" t="s">
        <v>589</v>
      </c>
      <c r="E13" s="73" t="s">
        <v>590</v>
      </c>
      <c r="F13" s="73" t="s">
        <v>591</v>
      </c>
      <c r="G13" s="73" t="s">
        <v>417</v>
      </c>
      <c r="H13" s="73" t="s">
        <v>592</v>
      </c>
      <c r="I13" s="73"/>
      <c r="J13" s="73"/>
      <c r="K13" s="73"/>
      <c r="L13" s="73"/>
    </row>
    <row r="14">
      <c r="A14" s="73" t="s">
        <v>593</v>
      </c>
      <c r="B14" s="73" t="s">
        <v>594</v>
      </c>
      <c r="C14" s="73" t="s">
        <v>595</v>
      </c>
      <c r="D14" s="73" t="s">
        <v>596</v>
      </c>
      <c r="E14" s="73" t="s">
        <v>597</v>
      </c>
      <c r="F14" s="73" t="s">
        <v>598</v>
      </c>
      <c r="G14" s="73" t="s">
        <v>599</v>
      </c>
      <c r="H14" s="73" t="s">
        <v>600</v>
      </c>
      <c r="I14" s="73"/>
      <c r="J14" s="73"/>
      <c r="K14" s="73"/>
      <c r="L14" s="73"/>
    </row>
    <row r="15">
      <c r="A15" s="73" t="s">
        <v>601</v>
      </c>
      <c r="B15" s="73" t="s">
        <v>602</v>
      </c>
      <c r="C15" s="73" t="s">
        <v>603</v>
      </c>
      <c r="D15" s="73" t="s">
        <v>604</v>
      </c>
      <c r="E15" s="73" t="s">
        <v>605</v>
      </c>
      <c r="F15" s="73" t="s">
        <v>606</v>
      </c>
      <c r="G15" s="73" t="s">
        <v>607</v>
      </c>
      <c r="H15" s="73" t="s">
        <v>608</v>
      </c>
      <c r="I15" s="73"/>
      <c r="J15" s="73"/>
      <c r="K15" s="73"/>
      <c r="L15" s="73"/>
    </row>
    <row r="16">
      <c r="A16" s="73" t="s">
        <v>609</v>
      </c>
      <c r="B16" s="73" t="s">
        <v>610</v>
      </c>
      <c r="C16" s="73" t="s">
        <v>611</v>
      </c>
      <c r="D16" s="73" t="s">
        <v>612</v>
      </c>
      <c r="E16" s="73" t="s">
        <v>613</v>
      </c>
      <c r="F16" s="73" t="s">
        <v>614</v>
      </c>
      <c r="G16" s="73" t="s">
        <v>615</v>
      </c>
      <c r="H16" s="73" t="s">
        <v>616</v>
      </c>
      <c r="I16" s="73"/>
      <c r="J16" s="73"/>
      <c r="K16" s="73"/>
      <c r="L16" s="73"/>
    </row>
    <row r="17">
      <c r="A17" s="73" t="s">
        <v>617</v>
      </c>
      <c r="B17" s="73" t="s">
        <v>618</v>
      </c>
      <c r="C17" s="73" t="s">
        <v>619</v>
      </c>
      <c r="D17" s="73" t="s">
        <v>620</v>
      </c>
      <c r="E17" s="73" t="s">
        <v>621</v>
      </c>
      <c r="F17" s="73" t="s">
        <v>622</v>
      </c>
      <c r="G17" s="73" t="s">
        <v>142</v>
      </c>
      <c r="H17" s="73" t="s">
        <v>623</v>
      </c>
      <c r="I17" s="73"/>
      <c r="J17" s="73"/>
      <c r="K17" s="73"/>
      <c r="L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>
      <c r="A20" s="74" t="s">
        <v>624</v>
      </c>
    </row>
    <row r="21" ht="15.75" customHeight="1">
      <c r="A21" s="76" t="s">
        <v>625</v>
      </c>
      <c r="B21" s="76" t="s">
        <v>626</v>
      </c>
      <c r="C21" s="76" t="s">
        <v>627</v>
      </c>
      <c r="D21" s="76" t="s">
        <v>628</v>
      </c>
      <c r="E21" s="76" t="s">
        <v>629</v>
      </c>
      <c r="F21" s="76" t="s">
        <v>630</v>
      </c>
      <c r="G21" s="76" t="s">
        <v>631</v>
      </c>
      <c r="H21" s="76"/>
      <c r="I21" s="73"/>
      <c r="J21" s="73"/>
      <c r="K21" s="73"/>
      <c r="L21" s="73"/>
    </row>
    <row r="22" ht="15.75" customHeight="1">
      <c r="A22" s="73" t="s">
        <v>632</v>
      </c>
      <c r="B22" s="73" t="s">
        <v>633</v>
      </c>
      <c r="C22" s="73" t="s">
        <v>634</v>
      </c>
      <c r="D22" s="73" t="s">
        <v>635</v>
      </c>
      <c r="E22" s="73" t="s">
        <v>636</v>
      </c>
      <c r="F22" s="73" t="s">
        <v>637</v>
      </c>
      <c r="G22" s="73" t="s">
        <v>638</v>
      </c>
      <c r="H22" s="73"/>
      <c r="I22" s="73"/>
      <c r="J22" s="73"/>
      <c r="K22" s="73"/>
      <c r="L22" s="73"/>
    </row>
    <row r="23" ht="15.75" customHeight="1">
      <c r="A23" s="73" t="s">
        <v>639</v>
      </c>
      <c r="B23" s="73" t="s">
        <v>640</v>
      </c>
      <c r="C23" s="73" t="s">
        <v>641</v>
      </c>
      <c r="D23" s="73" t="s">
        <v>642</v>
      </c>
      <c r="E23" s="73" t="s">
        <v>643</v>
      </c>
      <c r="F23" s="73" t="s">
        <v>644</v>
      </c>
      <c r="G23" s="73" t="s">
        <v>645</v>
      </c>
      <c r="H23" s="73"/>
      <c r="I23" s="73"/>
      <c r="J23" s="73"/>
      <c r="K23" s="73"/>
      <c r="L23" s="73"/>
    </row>
    <row r="24" ht="15.75" customHeight="1">
      <c r="A24" s="73" t="s">
        <v>294</v>
      </c>
      <c r="B24" s="73" t="s">
        <v>646</v>
      </c>
      <c r="C24" s="73" t="s">
        <v>107</v>
      </c>
      <c r="D24" s="73" t="s">
        <v>647</v>
      </c>
      <c r="E24" s="73" t="s">
        <v>648</v>
      </c>
      <c r="F24" s="73" t="s">
        <v>649</v>
      </c>
      <c r="G24" s="73" t="s">
        <v>650</v>
      </c>
      <c r="H24" s="73"/>
      <c r="I24" s="73"/>
      <c r="J24" s="73"/>
      <c r="K24" s="73"/>
      <c r="L24" s="73"/>
    </row>
    <row r="25" ht="15.75" customHeight="1">
      <c r="A25" s="73" t="s">
        <v>651</v>
      </c>
      <c r="B25" s="73" t="s">
        <v>652</v>
      </c>
      <c r="C25" s="73" t="s">
        <v>107</v>
      </c>
      <c r="D25" s="73" t="s">
        <v>653</v>
      </c>
      <c r="E25" s="73" t="s">
        <v>654</v>
      </c>
      <c r="F25" s="73" t="s">
        <v>655</v>
      </c>
      <c r="G25" s="73" t="s">
        <v>656</v>
      </c>
      <c r="H25" s="73"/>
      <c r="I25" s="73"/>
      <c r="J25" s="73"/>
      <c r="K25" s="73"/>
      <c r="L25" s="73"/>
    </row>
    <row r="26" ht="15.75" customHeight="1">
      <c r="A26" s="73" t="s">
        <v>657</v>
      </c>
      <c r="B26" s="73" t="s">
        <v>658</v>
      </c>
      <c r="C26" s="73" t="s">
        <v>659</v>
      </c>
      <c r="D26" s="73" t="s">
        <v>660</v>
      </c>
      <c r="E26" s="73" t="s">
        <v>661</v>
      </c>
      <c r="F26" s="73" t="s">
        <v>662</v>
      </c>
      <c r="G26" s="73" t="s">
        <v>663</v>
      </c>
      <c r="H26" s="73"/>
      <c r="I26" s="73"/>
      <c r="J26" s="73"/>
      <c r="K26" s="73"/>
      <c r="L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ht="15.75" customHeight="1">
      <c r="A29" s="74" t="s">
        <v>664</v>
      </c>
    </row>
    <row r="30" ht="15.75" customHeight="1">
      <c r="A30" s="76" t="s">
        <v>114</v>
      </c>
      <c r="B30" s="76" t="s">
        <v>115</v>
      </c>
      <c r="C30" s="76" t="s">
        <v>665</v>
      </c>
      <c r="D30" s="76" t="s">
        <v>120</v>
      </c>
      <c r="E30" s="76" t="s">
        <v>666</v>
      </c>
      <c r="F30" s="76"/>
      <c r="G30" s="73"/>
      <c r="H30" s="73"/>
      <c r="I30" s="73"/>
      <c r="J30" s="73"/>
      <c r="K30" s="73"/>
      <c r="L30" s="73"/>
    </row>
    <row r="31" ht="15.75" customHeight="1">
      <c r="A31" s="73" t="s">
        <v>667</v>
      </c>
      <c r="B31" s="73" t="s">
        <v>668</v>
      </c>
      <c r="C31" s="73" t="s">
        <v>669</v>
      </c>
      <c r="D31" s="73" t="s">
        <v>670</v>
      </c>
      <c r="E31" s="73" t="s">
        <v>671</v>
      </c>
      <c r="F31" s="73"/>
      <c r="G31" s="73"/>
      <c r="H31" s="73"/>
      <c r="I31" s="73"/>
      <c r="J31" s="73"/>
      <c r="K31" s="73"/>
      <c r="L31" s="73"/>
    </row>
    <row r="32" ht="15.75" customHeight="1">
      <c r="A32" s="73" t="s">
        <v>672</v>
      </c>
      <c r="B32" s="73" t="s">
        <v>673</v>
      </c>
      <c r="C32" s="73" t="s">
        <v>674</v>
      </c>
      <c r="D32" s="73" t="s">
        <v>675</v>
      </c>
      <c r="E32" s="73" t="s">
        <v>676</v>
      </c>
      <c r="F32" s="73"/>
      <c r="G32" s="73"/>
      <c r="H32" s="73"/>
      <c r="I32" s="73"/>
      <c r="J32" s="73"/>
      <c r="K32" s="73"/>
      <c r="L32" s="73"/>
    </row>
    <row r="33" ht="15.75" customHeight="1">
      <c r="A33" s="73" t="s">
        <v>677</v>
      </c>
      <c r="B33" s="73" t="s">
        <v>678</v>
      </c>
      <c r="C33" s="73" t="s">
        <v>679</v>
      </c>
      <c r="D33" s="73" t="s">
        <v>680</v>
      </c>
      <c r="E33" s="73" t="s">
        <v>681</v>
      </c>
      <c r="F33" s="73"/>
      <c r="G33" s="73"/>
      <c r="H33" s="73"/>
      <c r="I33" s="73"/>
      <c r="J33" s="73"/>
      <c r="K33" s="73"/>
      <c r="L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2:L2"/>
    <mergeCell ref="A4:L4"/>
    <mergeCell ref="A10:L10"/>
    <mergeCell ref="A20:L20"/>
    <mergeCell ref="A29:L2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4.0"/>
    <col customWidth="1" min="4" max="4" width="20.0"/>
    <col customWidth="1" min="5" max="5" width="18.0"/>
    <col customWidth="1" min="6" max="6" width="16.0"/>
    <col customWidth="1" min="7" max="7" width="14.0"/>
    <col customWidth="1" min="8" max="8" width="18.0"/>
    <col customWidth="1" min="9" max="9" width="22.0"/>
    <col customWidth="1" min="10" max="10" width="18.0"/>
    <col customWidth="1" min="11" max="11" width="24.0"/>
    <col customWidth="1" min="12" max="12" width="14.0"/>
    <col customWidth="1" min="13" max="13" width="28.0"/>
    <col customWidth="1" min="14" max="14" width="18.0"/>
    <col customWidth="1" min="15" max="15" width="20.0"/>
    <col customWidth="1" min="16" max="17" width="12.0"/>
    <col customWidth="1" min="18" max="18" width="14.0"/>
    <col customWidth="1" min="19" max="19" width="12.0"/>
    <col customWidth="1" min="20" max="20" width="20.0"/>
    <col customWidth="1" min="21" max="26" width="12.0"/>
    <col customWidth="1" min="27" max="30" width="16.0"/>
    <col customWidth="1" min="31" max="32" width="12.0"/>
    <col customWidth="1" min="33" max="34" width="14.0"/>
    <col customWidth="1" min="35" max="35" width="32.0"/>
  </cols>
  <sheetData>
    <row r="1" ht="24.0" customHeight="1">
      <c r="A1" s="71" t="s">
        <v>682</v>
      </c>
    </row>
    <row r="2" ht="24.0" customHeight="1">
      <c r="A2" s="72" t="s">
        <v>683</v>
      </c>
    </row>
    <row r="3" ht="24.0" customHeight="1">
      <c r="A3" s="77" t="s">
        <v>684</v>
      </c>
      <c r="B3" s="77" t="s">
        <v>685</v>
      </c>
      <c r="C3" s="77" t="s">
        <v>686</v>
      </c>
      <c r="D3" s="77" t="s">
        <v>687</v>
      </c>
      <c r="E3" s="77" t="s">
        <v>688</v>
      </c>
      <c r="F3" s="77" t="s">
        <v>689</v>
      </c>
      <c r="G3" s="77" t="s">
        <v>690</v>
      </c>
      <c r="H3" s="77" t="s">
        <v>691</v>
      </c>
      <c r="I3" s="77" t="s">
        <v>692</v>
      </c>
      <c r="J3" s="77" t="s">
        <v>693</v>
      </c>
      <c r="K3" s="77" t="s">
        <v>694</v>
      </c>
      <c r="L3" s="77" t="s">
        <v>695</v>
      </c>
      <c r="M3" s="77" t="s">
        <v>696</v>
      </c>
      <c r="N3" s="77" t="s">
        <v>697</v>
      </c>
      <c r="O3" s="77" t="s">
        <v>698</v>
      </c>
      <c r="P3" s="77" t="s">
        <v>699</v>
      </c>
      <c r="Q3" s="77" t="s">
        <v>700</v>
      </c>
      <c r="R3" s="77" t="s">
        <v>701</v>
      </c>
      <c r="S3" s="77" t="s">
        <v>702</v>
      </c>
      <c r="T3" s="77" t="s">
        <v>703</v>
      </c>
      <c r="U3" s="77" t="s">
        <v>704</v>
      </c>
      <c r="V3" s="77" t="s">
        <v>705</v>
      </c>
      <c r="W3" s="77" t="s">
        <v>706</v>
      </c>
      <c r="X3" s="77" t="s">
        <v>707</v>
      </c>
      <c r="Y3" s="77" t="s">
        <v>708</v>
      </c>
      <c r="Z3" s="77" t="s">
        <v>709</v>
      </c>
      <c r="AA3" s="77" t="s">
        <v>710</v>
      </c>
      <c r="AB3" s="77" t="s">
        <v>711</v>
      </c>
      <c r="AC3" s="77" t="s">
        <v>712</v>
      </c>
      <c r="AD3" s="77" t="s">
        <v>713</v>
      </c>
      <c r="AE3" s="77" t="s">
        <v>714</v>
      </c>
      <c r="AF3" s="77" t="s">
        <v>715</v>
      </c>
      <c r="AG3" s="77" t="s">
        <v>716</v>
      </c>
      <c r="AH3" s="77" t="s">
        <v>256</v>
      </c>
      <c r="AI3" s="77" t="s">
        <v>31</v>
      </c>
    </row>
    <row r="4">
      <c r="A4" s="78" t="s">
        <v>717</v>
      </c>
      <c r="B4" s="79">
        <v>46160.0</v>
      </c>
      <c r="C4" s="78" t="s">
        <v>718</v>
      </c>
      <c r="D4" s="78" t="s">
        <v>537</v>
      </c>
      <c r="E4" s="78" t="s">
        <v>719</v>
      </c>
      <c r="F4" s="78" t="s">
        <v>720</v>
      </c>
      <c r="G4" s="78" t="s">
        <v>721</v>
      </c>
      <c r="H4" s="78" t="s">
        <v>722</v>
      </c>
      <c r="I4" s="78" t="s">
        <v>723</v>
      </c>
      <c r="J4" s="78" t="s">
        <v>724</v>
      </c>
      <c r="K4" s="78" t="s">
        <v>107</v>
      </c>
      <c r="L4" s="79">
        <v>46162.0</v>
      </c>
      <c r="M4" s="78" t="s">
        <v>725</v>
      </c>
      <c r="N4" s="78" t="s">
        <v>726</v>
      </c>
      <c r="O4" s="78" t="s">
        <v>727</v>
      </c>
      <c r="P4" s="78">
        <v>5.0</v>
      </c>
      <c r="Q4" s="78">
        <v>5.0</v>
      </c>
      <c r="R4" s="78">
        <v>4.0</v>
      </c>
      <c r="S4" s="80">
        <f t="shared" ref="S4:S303" si="1">IF(C4="","",SUM(P4:R4))</f>
        <v>14</v>
      </c>
      <c r="T4" s="80" t="str">
        <f t="shared" ref="T4:T303" si="2">IF(C4="","",IF(S4&gt;=13,"Đối tác chiến lược",IF(S4&gt;=10,"Đại lý",IF(S4&gt;=7,"Điểm gom",IF(S4&gt;=1,"Theo dõi","")))))</f>
        <v>Đối tác chiến lược</v>
      </c>
      <c r="U4" s="81">
        <v>20.0</v>
      </c>
      <c r="V4" s="81">
        <v>5.0</v>
      </c>
      <c r="W4" s="81">
        <v>80.0</v>
      </c>
      <c r="X4" s="81">
        <v>12.0</v>
      </c>
      <c r="Y4" s="81">
        <v>3.0</v>
      </c>
      <c r="Z4" s="81">
        <v>35.0</v>
      </c>
      <c r="AA4" s="82">
        <f t="shared" ref="AA4:AA303" si="3">IF(C4="","",X4*199000+Y4*249000+Z4*60000)</f>
        <v>5235000</v>
      </c>
      <c r="AB4" s="82">
        <f t="shared" ref="AB4:AB303" si="4">IF(C4="","",IFERROR(X4*VLOOKUP(IF(O4="",T4,O4),'13 Policy Matrix'!$A$4:$F$30,4,FALSE)+Y4*VLOOKUP(IF(O4="",T4,O4),'13 Policy Matrix'!$A$4:$F$30,5,FALSE)+Z4*VLOOKUP(IF(O4="",T4,O4),'13 Policy Matrix'!$A$4:$F$30,6,FALSE),0))</f>
        <v>0</v>
      </c>
      <c r="AC4" s="82">
        <f t="shared" ref="AC4:AC303" si="5">IF(C4="","",IF(X4+Y4&gt;=50,1000000,IF(X4+Y4&gt;=20,300000,IF(X4+Y4&gt;=10,100000,0)))+IF(Z4&gt;=100,300000,0))</f>
        <v>100000</v>
      </c>
      <c r="AD4" s="82">
        <f t="shared" ref="AD4:AD303" si="6">IF(C4="","",AB4+AC4)</f>
        <v>100000</v>
      </c>
      <c r="AE4" s="83">
        <f t="shared" ref="AE4:AE303" si="7">IFERROR((X4+Y4)/(U4+V4),0)</f>
        <v>0.6</v>
      </c>
      <c r="AF4" s="83">
        <f t="shared" ref="AF4:AF303" si="8">IFERROR(Z4/W4,0)</f>
        <v>0.4375</v>
      </c>
      <c r="AG4" s="79">
        <v>46164.0</v>
      </c>
      <c r="AH4" s="78" t="s">
        <v>438</v>
      </c>
      <c r="AI4" s="78" t="s">
        <v>728</v>
      </c>
    </row>
    <row r="5">
      <c r="A5" s="78" t="s">
        <v>729</v>
      </c>
      <c r="B5" s="79">
        <v>46161.0</v>
      </c>
      <c r="C5" s="78" t="s">
        <v>730</v>
      </c>
      <c r="D5" s="78" t="s">
        <v>539</v>
      </c>
      <c r="E5" s="78" t="s">
        <v>731</v>
      </c>
      <c r="F5" s="78" t="s">
        <v>732</v>
      </c>
      <c r="G5" s="78" t="s">
        <v>733</v>
      </c>
      <c r="H5" s="78" t="s">
        <v>734</v>
      </c>
      <c r="I5" s="78" t="s">
        <v>539</v>
      </c>
      <c r="J5" s="78" t="s">
        <v>735</v>
      </c>
      <c r="K5" s="78" t="s">
        <v>634</v>
      </c>
      <c r="L5" s="79">
        <v>46163.0</v>
      </c>
      <c r="M5" s="78" t="s">
        <v>736</v>
      </c>
      <c r="N5" s="78" t="s">
        <v>737</v>
      </c>
      <c r="O5" s="78" t="s">
        <v>738</v>
      </c>
      <c r="P5" s="78">
        <v>4.0</v>
      </c>
      <c r="Q5" s="78">
        <v>4.0</v>
      </c>
      <c r="R5" s="78">
        <v>5.0</v>
      </c>
      <c r="S5" s="80">
        <f t="shared" si="1"/>
        <v>13</v>
      </c>
      <c r="T5" s="80" t="str">
        <f t="shared" si="2"/>
        <v>Đối tác chiến lược</v>
      </c>
      <c r="U5" s="81">
        <v>30.0</v>
      </c>
      <c r="V5" s="81">
        <v>10.0</v>
      </c>
      <c r="W5" s="81">
        <v>100.0</v>
      </c>
      <c r="X5" s="81">
        <v>18.0</v>
      </c>
      <c r="Y5" s="81">
        <v>4.0</v>
      </c>
      <c r="Z5" s="81">
        <v>42.0</v>
      </c>
      <c r="AA5" s="82">
        <f t="shared" si="3"/>
        <v>7098000</v>
      </c>
      <c r="AB5" s="82">
        <f t="shared" si="4"/>
        <v>0</v>
      </c>
      <c r="AC5" s="82">
        <f t="shared" si="5"/>
        <v>300000</v>
      </c>
      <c r="AD5" s="82">
        <f t="shared" si="6"/>
        <v>300000</v>
      </c>
      <c r="AE5" s="83">
        <f t="shared" si="7"/>
        <v>0.55</v>
      </c>
      <c r="AF5" s="83">
        <f t="shared" si="8"/>
        <v>0.42</v>
      </c>
      <c r="AG5" s="79">
        <v>46165.0</v>
      </c>
      <c r="AH5" s="78" t="s">
        <v>615</v>
      </c>
      <c r="AI5" s="78" t="s">
        <v>739</v>
      </c>
    </row>
    <row r="6">
      <c r="A6" s="78" t="s">
        <v>740</v>
      </c>
      <c r="B6" s="79">
        <v>46162.0</v>
      </c>
      <c r="C6" s="78" t="s">
        <v>741</v>
      </c>
      <c r="D6" s="78" t="s">
        <v>541</v>
      </c>
      <c r="E6" s="78" t="s">
        <v>742</v>
      </c>
      <c r="F6" s="78" t="s">
        <v>743</v>
      </c>
      <c r="G6" s="78" t="s">
        <v>744</v>
      </c>
      <c r="H6" s="78" t="s">
        <v>745</v>
      </c>
      <c r="I6" s="78" t="s">
        <v>746</v>
      </c>
      <c r="J6" s="78" t="s">
        <v>747</v>
      </c>
      <c r="K6" s="78" t="s">
        <v>748</v>
      </c>
      <c r="L6" s="79">
        <v>46164.0</v>
      </c>
      <c r="M6" s="78" t="s">
        <v>749</v>
      </c>
      <c r="N6" s="78" t="s">
        <v>750</v>
      </c>
      <c r="O6" s="78" t="s">
        <v>553</v>
      </c>
      <c r="P6" s="78">
        <v>3.0</v>
      </c>
      <c r="Q6" s="78">
        <v>4.0</v>
      </c>
      <c r="R6" s="78">
        <v>2.0</v>
      </c>
      <c r="S6" s="80">
        <f t="shared" si="1"/>
        <v>9</v>
      </c>
      <c r="T6" s="80" t="str">
        <f t="shared" si="2"/>
        <v>Điểm gom</v>
      </c>
      <c r="U6" s="81">
        <v>10.0</v>
      </c>
      <c r="V6" s="81">
        <v>3.0</v>
      </c>
      <c r="W6" s="81">
        <v>20.0</v>
      </c>
      <c r="X6" s="81">
        <v>2.0</v>
      </c>
      <c r="Y6" s="81">
        <v>0.0</v>
      </c>
      <c r="Z6" s="81">
        <v>0.0</v>
      </c>
      <c r="AA6" s="82">
        <f t="shared" si="3"/>
        <v>398000</v>
      </c>
      <c r="AB6" s="82">
        <f t="shared" si="4"/>
        <v>0</v>
      </c>
      <c r="AC6" s="82">
        <f t="shared" si="5"/>
        <v>0</v>
      </c>
      <c r="AD6" s="82">
        <f t="shared" si="6"/>
        <v>0</v>
      </c>
      <c r="AE6" s="83">
        <f t="shared" si="7"/>
        <v>0.1538461538</v>
      </c>
      <c r="AF6" s="83">
        <f t="shared" si="8"/>
        <v>0</v>
      </c>
      <c r="AG6" s="79">
        <v>46167.0</v>
      </c>
      <c r="AH6" s="78" t="s">
        <v>459</v>
      </c>
      <c r="AI6" s="78" t="s">
        <v>751</v>
      </c>
    </row>
    <row r="7">
      <c r="A7" s="78"/>
      <c r="B7" s="79"/>
      <c r="C7" s="78"/>
      <c r="D7" s="78"/>
      <c r="E7" s="78"/>
      <c r="F7" s="78"/>
      <c r="G7" s="78"/>
      <c r="H7" s="78"/>
      <c r="I7" s="78"/>
      <c r="J7" s="78"/>
      <c r="K7" s="78"/>
      <c r="L7" s="79"/>
      <c r="M7" s="78"/>
      <c r="N7" s="78"/>
      <c r="O7" s="78"/>
      <c r="P7" s="78"/>
      <c r="Q7" s="78"/>
      <c r="R7" s="78"/>
      <c r="S7" s="80" t="str">
        <f t="shared" si="1"/>
        <v/>
      </c>
      <c r="T7" s="80" t="str">
        <f t="shared" si="2"/>
        <v/>
      </c>
      <c r="U7" s="81"/>
      <c r="V7" s="81"/>
      <c r="W7" s="81"/>
      <c r="X7" s="81"/>
      <c r="Y7" s="81"/>
      <c r="Z7" s="81"/>
      <c r="AA7" s="82" t="str">
        <f t="shared" si="3"/>
        <v/>
      </c>
      <c r="AB7" s="82" t="str">
        <f t="shared" si="4"/>
        <v/>
      </c>
      <c r="AC7" s="82" t="str">
        <f t="shared" si="5"/>
        <v/>
      </c>
      <c r="AD7" s="82" t="str">
        <f t="shared" si="6"/>
        <v/>
      </c>
      <c r="AE7" s="83">
        <f t="shared" si="7"/>
        <v>0</v>
      </c>
      <c r="AF7" s="83">
        <f t="shared" si="8"/>
        <v>0</v>
      </c>
      <c r="AG7" s="79"/>
      <c r="AH7" s="78"/>
      <c r="AI7" s="78"/>
    </row>
    <row r="8">
      <c r="A8" s="78"/>
      <c r="B8" s="79"/>
      <c r="C8" s="78"/>
      <c r="D8" s="78"/>
      <c r="E8" s="78"/>
      <c r="F8" s="78"/>
      <c r="G8" s="78"/>
      <c r="H8" s="78"/>
      <c r="I8" s="78"/>
      <c r="J8" s="78"/>
      <c r="K8" s="78"/>
      <c r="L8" s="79"/>
      <c r="M8" s="78"/>
      <c r="N8" s="78"/>
      <c r="O8" s="78"/>
      <c r="P8" s="78"/>
      <c r="Q8" s="78"/>
      <c r="R8" s="78"/>
      <c r="S8" s="80" t="str">
        <f t="shared" si="1"/>
        <v/>
      </c>
      <c r="T8" s="80" t="str">
        <f t="shared" si="2"/>
        <v/>
      </c>
      <c r="U8" s="81"/>
      <c r="V8" s="81"/>
      <c r="W8" s="81"/>
      <c r="X8" s="81"/>
      <c r="Y8" s="81"/>
      <c r="Z8" s="81"/>
      <c r="AA8" s="82" t="str">
        <f t="shared" si="3"/>
        <v/>
      </c>
      <c r="AB8" s="82" t="str">
        <f t="shared" si="4"/>
        <v/>
      </c>
      <c r="AC8" s="82" t="str">
        <f t="shared" si="5"/>
        <v/>
      </c>
      <c r="AD8" s="82" t="str">
        <f t="shared" si="6"/>
        <v/>
      </c>
      <c r="AE8" s="83">
        <f t="shared" si="7"/>
        <v>0</v>
      </c>
      <c r="AF8" s="83">
        <f t="shared" si="8"/>
        <v>0</v>
      </c>
      <c r="AG8" s="79"/>
      <c r="AH8" s="78"/>
      <c r="AI8" s="78"/>
    </row>
    <row r="9">
      <c r="A9" s="78"/>
      <c r="B9" s="79"/>
      <c r="C9" s="78"/>
      <c r="D9" s="78"/>
      <c r="E9" s="78"/>
      <c r="F9" s="78"/>
      <c r="G9" s="78"/>
      <c r="H9" s="78"/>
      <c r="I9" s="78"/>
      <c r="J9" s="78"/>
      <c r="K9" s="78"/>
      <c r="L9" s="79"/>
      <c r="M9" s="78"/>
      <c r="N9" s="78"/>
      <c r="O9" s="78"/>
      <c r="P9" s="78"/>
      <c r="Q9" s="78"/>
      <c r="R9" s="78"/>
      <c r="S9" s="80" t="str">
        <f t="shared" si="1"/>
        <v/>
      </c>
      <c r="T9" s="80" t="str">
        <f t="shared" si="2"/>
        <v/>
      </c>
      <c r="U9" s="81"/>
      <c r="V9" s="81"/>
      <c r="W9" s="81"/>
      <c r="X9" s="81"/>
      <c r="Y9" s="81"/>
      <c r="Z9" s="81"/>
      <c r="AA9" s="82" t="str">
        <f t="shared" si="3"/>
        <v/>
      </c>
      <c r="AB9" s="82" t="str">
        <f t="shared" si="4"/>
        <v/>
      </c>
      <c r="AC9" s="82" t="str">
        <f t="shared" si="5"/>
        <v/>
      </c>
      <c r="AD9" s="82" t="str">
        <f t="shared" si="6"/>
        <v/>
      </c>
      <c r="AE9" s="83">
        <f t="shared" si="7"/>
        <v>0</v>
      </c>
      <c r="AF9" s="83">
        <f t="shared" si="8"/>
        <v>0</v>
      </c>
      <c r="AG9" s="79"/>
      <c r="AH9" s="78"/>
      <c r="AI9" s="78"/>
    </row>
    <row r="10">
      <c r="A10" s="78"/>
      <c r="B10" s="79"/>
      <c r="C10" s="78"/>
      <c r="D10" s="78"/>
      <c r="E10" s="78"/>
      <c r="F10" s="78"/>
      <c r="G10" s="78"/>
      <c r="H10" s="78"/>
      <c r="I10" s="78"/>
      <c r="J10" s="78"/>
      <c r="K10" s="78"/>
      <c r="L10" s="79"/>
      <c r="M10" s="78"/>
      <c r="N10" s="78"/>
      <c r="O10" s="78"/>
      <c r="P10" s="78"/>
      <c r="Q10" s="78"/>
      <c r="R10" s="78"/>
      <c r="S10" s="80" t="str">
        <f t="shared" si="1"/>
        <v/>
      </c>
      <c r="T10" s="80" t="str">
        <f t="shared" si="2"/>
        <v/>
      </c>
      <c r="U10" s="81"/>
      <c r="V10" s="81"/>
      <c r="W10" s="81"/>
      <c r="X10" s="81"/>
      <c r="Y10" s="81"/>
      <c r="Z10" s="81"/>
      <c r="AA10" s="82" t="str">
        <f t="shared" si="3"/>
        <v/>
      </c>
      <c r="AB10" s="82" t="str">
        <f t="shared" si="4"/>
        <v/>
      </c>
      <c r="AC10" s="82" t="str">
        <f t="shared" si="5"/>
        <v/>
      </c>
      <c r="AD10" s="82" t="str">
        <f t="shared" si="6"/>
        <v/>
      </c>
      <c r="AE10" s="83">
        <f t="shared" si="7"/>
        <v>0</v>
      </c>
      <c r="AF10" s="83">
        <f t="shared" si="8"/>
        <v>0</v>
      </c>
      <c r="AG10" s="79"/>
      <c r="AH10" s="78"/>
      <c r="AI10" s="78"/>
    </row>
    <row r="11">
      <c r="A11" s="78"/>
      <c r="B11" s="79"/>
      <c r="C11" s="78"/>
      <c r="D11" s="78"/>
      <c r="E11" s="78"/>
      <c r="F11" s="78"/>
      <c r="G11" s="78"/>
      <c r="H11" s="78"/>
      <c r="I11" s="78"/>
      <c r="J11" s="78"/>
      <c r="K11" s="78"/>
      <c r="L11" s="79"/>
      <c r="M11" s="78"/>
      <c r="N11" s="78"/>
      <c r="O11" s="78"/>
      <c r="P11" s="78"/>
      <c r="Q11" s="78"/>
      <c r="R11" s="78"/>
      <c r="S11" s="80" t="str">
        <f t="shared" si="1"/>
        <v/>
      </c>
      <c r="T11" s="80" t="str">
        <f t="shared" si="2"/>
        <v/>
      </c>
      <c r="U11" s="81"/>
      <c r="V11" s="81"/>
      <c r="W11" s="81"/>
      <c r="X11" s="81"/>
      <c r="Y11" s="81"/>
      <c r="Z11" s="81"/>
      <c r="AA11" s="82" t="str">
        <f t="shared" si="3"/>
        <v/>
      </c>
      <c r="AB11" s="82" t="str">
        <f t="shared" si="4"/>
        <v/>
      </c>
      <c r="AC11" s="82" t="str">
        <f t="shared" si="5"/>
        <v/>
      </c>
      <c r="AD11" s="82" t="str">
        <f t="shared" si="6"/>
        <v/>
      </c>
      <c r="AE11" s="83">
        <f t="shared" si="7"/>
        <v>0</v>
      </c>
      <c r="AF11" s="83">
        <f t="shared" si="8"/>
        <v>0</v>
      </c>
      <c r="AG11" s="79"/>
      <c r="AH11" s="78"/>
      <c r="AI11" s="78"/>
    </row>
    <row r="12">
      <c r="A12" s="78"/>
      <c r="B12" s="79"/>
      <c r="C12" s="78"/>
      <c r="D12" s="78"/>
      <c r="E12" s="78"/>
      <c r="F12" s="78"/>
      <c r="G12" s="78"/>
      <c r="H12" s="78"/>
      <c r="I12" s="78"/>
      <c r="J12" s="78"/>
      <c r="K12" s="78"/>
      <c r="L12" s="79"/>
      <c r="M12" s="78"/>
      <c r="N12" s="78"/>
      <c r="O12" s="78"/>
      <c r="P12" s="78"/>
      <c r="Q12" s="78"/>
      <c r="R12" s="78"/>
      <c r="S12" s="80" t="str">
        <f t="shared" si="1"/>
        <v/>
      </c>
      <c r="T12" s="80" t="str">
        <f t="shared" si="2"/>
        <v/>
      </c>
      <c r="U12" s="81"/>
      <c r="V12" s="81"/>
      <c r="W12" s="81"/>
      <c r="X12" s="81"/>
      <c r="Y12" s="81"/>
      <c r="Z12" s="81"/>
      <c r="AA12" s="82" t="str">
        <f t="shared" si="3"/>
        <v/>
      </c>
      <c r="AB12" s="82" t="str">
        <f t="shared" si="4"/>
        <v/>
      </c>
      <c r="AC12" s="82" t="str">
        <f t="shared" si="5"/>
        <v/>
      </c>
      <c r="AD12" s="82" t="str">
        <f t="shared" si="6"/>
        <v/>
      </c>
      <c r="AE12" s="83">
        <f t="shared" si="7"/>
        <v>0</v>
      </c>
      <c r="AF12" s="83">
        <f t="shared" si="8"/>
        <v>0</v>
      </c>
      <c r="AG12" s="79"/>
      <c r="AH12" s="78"/>
      <c r="AI12" s="78"/>
    </row>
    <row r="13">
      <c r="A13" s="78"/>
      <c r="B13" s="79"/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78"/>
      <c r="N13" s="78"/>
      <c r="O13" s="78"/>
      <c r="P13" s="78"/>
      <c r="Q13" s="78"/>
      <c r="R13" s="78"/>
      <c r="S13" s="80" t="str">
        <f t="shared" si="1"/>
        <v/>
      </c>
      <c r="T13" s="80" t="str">
        <f t="shared" si="2"/>
        <v/>
      </c>
      <c r="U13" s="81"/>
      <c r="V13" s="81"/>
      <c r="W13" s="81"/>
      <c r="X13" s="81"/>
      <c r="Y13" s="81"/>
      <c r="Z13" s="81"/>
      <c r="AA13" s="82" t="str">
        <f t="shared" si="3"/>
        <v/>
      </c>
      <c r="AB13" s="82" t="str">
        <f t="shared" si="4"/>
        <v/>
      </c>
      <c r="AC13" s="82" t="str">
        <f t="shared" si="5"/>
        <v/>
      </c>
      <c r="AD13" s="82" t="str">
        <f t="shared" si="6"/>
        <v/>
      </c>
      <c r="AE13" s="83">
        <f t="shared" si="7"/>
        <v>0</v>
      </c>
      <c r="AF13" s="83">
        <f t="shared" si="8"/>
        <v>0</v>
      </c>
      <c r="AG13" s="79"/>
      <c r="AH13" s="78"/>
      <c r="AI13" s="78"/>
    </row>
    <row r="14">
      <c r="A14" s="78"/>
      <c r="B14" s="79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78"/>
      <c r="N14" s="78"/>
      <c r="O14" s="78"/>
      <c r="P14" s="78"/>
      <c r="Q14" s="78"/>
      <c r="R14" s="78"/>
      <c r="S14" s="80" t="str">
        <f t="shared" si="1"/>
        <v/>
      </c>
      <c r="T14" s="80" t="str">
        <f t="shared" si="2"/>
        <v/>
      </c>
      <c r="U14" s="81"/>
      <c r="V14" s="81"/>
      <c r="W14" s="81"/>
      <c r="X14" s="81"/>
      <c r="Y14" s="81"/>
      <c r="Z14" s="81"/>
      <c r="AA14" s="82" t="str">
        <f t="shared" si="3"/>
        <v/>
      </c>
      <c r="AB14" s="82" t="str">
        <f t="shared" si="4"/>
        <v/>
      </c>
      <c r="AC14" s="82" t="str">
        <f t="shared" si="5"/>
        <v/>
      </c>
      <c r="AD14" s="82" t="str">
        <f t="shared" si="6"/>
        <v/>
      </c>
      <c r="AE14" s="83">
        <f t="shared" si="7"/>
        <v>0</v>
      </c>
      <c r="AF14" s="83">
        <f t="shared" si="8"/>
        <v>0</v>
      </c>
      <c r="AG14" s="79"/>
      <c r="AH14" s="78"/>
      <c r="AI14" s="78"/>
    </row>
    <row r="15">
      <c r="A15" s="78"/>
      <c r="B15" s="79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78"/>
      <c r="N15" s="78"/>
      <c r="O15" s="78"/>
      <c r="P15" s="78"/>
      <c r="Q15" s="78"/>
      <c r="R15" s="78"/>
      <c r="S15" s="80" t="str">
        <f t="shared" si="1"/>
        <v/>
      </c>
      <c r="T15" s="80" t="str">
        <f t="shared" si="2"/>
        <v/>
      </c>
      <c r="U15" s="81"/>
      <c r="V15" s="81"/>
      <c r="W15" s="81"/>
      <c r="X15" s="81"/>
      <c r="Y15" s="81"/>
      <c r="Z15" s="81"/>
      <c r="AA15" s="82" t="str">
        <f t="shared" si="3"/>
        <v/>
      </c>
      <c r="AB15" s="82" t="str">
        <f t="shared" si="4"/>
        <v/>
      </c>
      <c r="AC15" s="82" t="str">
        <f t="shared" si="5"/>
        <v/>
      </c>
      <c r="AD15" s="82" t="str">
        <f t="shared" si="6"/>
        <v/>
      </c>
      <c r="AE15" s="83">
        <f t="shared" si="7"/>
        <v>0</v>
      </c>
      <c r="AF15" s="83">
        <f t="shared" si="8"/>
        <v>0</v>
      </c>
      <c r="AG15" s="79"/>
      <c r="AH15" s="78"/>
      <c r="AI15" s="78"/>
    </row>
    <row r="16">
      <c r="A16" s="78"/>
      <c r="B16" s="79"/>
      <c r="C16" s="78"/>
      <c r="D16" s="78"/>
      <c r="E16" s="78"/>
      <c r="F16" s="78"/>
      <c r="G16" s="78"/>
      <c r="H16" s="78"/>
      <c r="I16" s="78"/>
      <c r="J16" s="78"/>
      <c r="K16" s="78"/>
      <c r="L16" s="79"/>
      <c r="M16" s="78"/>
      <c r="N16" s="78"/>
      <c r="O16" s="78"/>
      <c r="P16" s="78"/>
      <c r="Q16" s="78"/>
      <c r="R16" s="78"/>
      <c r="S16" s="80" t="str">
        <f t="shared" si="1"/>
        <v/>
      </c>
      <c r="T16" s="80" t="str">
        <f t="shared" si="2"/>
        <v/>
      </c>
      <c r="U16" s="81"/>
      <c r="V16" s="81"/>
      <c r="W16" s="81"/>
      <c r="X16" s="81"/>
      <c r="Y16" s="81"/>
      <c r="Z16" s="81"/>
      <c r="AA16" s="82" t="str">
        <f t="shared" si="3"/>
        <v/>
      </c>
      <c r="AB16" s="82" t="str">
        <f t="shared" si="4"/>
        <v/>
      </c>
      <c r="AC16" s="82" t="str">
        <f t="shared" si="5"/>
        <v/>
      </c>
      <c r="AD16" s="82" t="str">
        <f t="shared" si="6"/>
        <v/>
      </c>
      <c r="AE16" s="83">
        <f t="shared" si="7"/>
        <v>0</v>
      </c>
      <c r="AF16" s="83">
        <f t="shared" si="8"/>
        <v>0</v>
      </c>
      <c r="AG16" s="79"/>
      <c r="AH16" s="78"/>
      <c r="AI16" s="78"/>
    </row>
    <row r="17">
      <c r="A17" s="78"/>
      <c r="B17" s="79"/>
      <c r="C17" s="78"/>
      <c r="D17" s="78"/>
      <c r="E17" s="78"/>
      <c r="F17" s="78"/>
      <c r="G17" s="78"/>
      <c r="H17" s="78"/>
      <c r="I17" s="78"/>
      <c r="J17" s="78"/>
      <c r="K17" s="78"/>
      <c r="L17" s="79"/>
      <c r="M17" s="78"/>
      <c r="N17" s="78"/>
      <c r="O17" s="78"/>
      <c r="P17" s="78"/>
      <c r="Q17" s="78"/>
      <c r="R17" s="78"/>
      <c r="S17" s="80" t="str">
        <f t="shared" si="1"/>
        <v/>
      </c>
      <c r="T17" s="80" t="str">
        <f t="shared" si="2"/>
        <v/>
      </c>
      <c r="U17" s="81"/>
      <c r="V17" s="81"/>
      <c r="W17" s="81"/>
      <c r="X17" s="81"/>
      <c r="Y17" s="81"/>
      <c r="Z17" s="81"/>
      <c r="AA17" s="82" t="str">
        <f t="shared" si="3"/>
        <v/>
      </c>
      <c r="AB17" s="82" t="str">
        <f t="shared" si="4"/>
        <v/>
      </c>
      <c r="AC17" s="82" t="str">
        <f t="shared" si="5"/>
        <v/>
      </c>
      <c r="AD17" s="82" t="str">
        <f t="shared" si="6"/>
        <v/>
      </c>
      <c r="AE17" s="83">
        <f t="shared" si="7"/>
        <v>0</v>
      </c>
      <c r="AF17" s="83">
        <f t="shared" si="8"/>
        <v>0</v>
      </c>
      <c r="AG17" s="79"/>
      <c r="AH17" s="78"/>
      <c r="AI17" s="78"/>
    </row>
    <row r="18">
      <c r="A18" s="78"/>
      <c r="B18" s="79"/>
      <c r="C18" s="78"/>
      <c r="D18" s="78"/>
      <c r="E18" s="78"/>
      <c r="F18" s="78"/>
      <c r="G18" s="78"/>
      <c r="H18" s="78"/>
      <c r="I18" s="78"/>
      <c r="J18" s="78"/>
      <c r="K18" s="78"/>
      <c r="L18" s="79"/>
      <c r="M18" s="78"/>
      <c r="N18" s="78"/>
      <c r="O18" s="78"/>
      <c r="P18" s="78"/>
      <c r="Q18" s="78"/>
      <c r="R18" s="78"/>
      <c r="S18" s="80" t="str">
        <f t="shared" si="1"/>
        <v/>
      </c>
      <c r="T18" s="80" t="str">
        <f t="shared" si="2"/>
        <v/>
      </c>
      <c r="U18" s="81"/>
      <c r="V18" s="81"/>
      <c r="W18" s="81"/>
      <c r="X18" s="81"/>
      <c r="Y18" s="81"/>
      <c r="Z18" s="81"/>
      <c r="AA18" s="82" t="str">
        <f t="shared" si="3"/>
        <v/>
      </c>
      <c r="AB18" s="82" t="str">
        <f t="shared" si="4"/>
        <v/>
      </c>
      <c r="AC18" s="82" t="str">
        <f t="shared" si="5"/>
        <v/>
      </c>
      <c r="AD18" s="82" t="str">
        <f t="shared" si="6"/>
        <v/>
      </c>
      <c r="AE18" s="83">
        <f t="shared" si="7"/>
        <v>0</v>
      </c>
      <c r="AF18" s="83">
        <f t="shared" si="8"/>
        <v>0</v>
      </c>
      <c r="AG18" s="79"/>
      <c r="AH18" s="78"/>
      <c r="AI18" s="78"/>
    </row>
    <row r="19">
      <c r="A19" s="78"/>
      <c r="B19" s="79"/>
      <c r="C19" s="78"/>
      <c r="D19" s="78"/>
      <c r="E19" s="78"/>
      <c r="F19" s="78"/>
      <c r="G19" s="78"/>
      <c r="H19" s="78"/>
      <c r="I19" s="78"/>
      <c r="J19" s="78"/>
      <c r="K19" s="78"/>
      <c r="L19" s="79"/>
      <c r="M19" s="78"/>
      <c r="N19" s="78"/>
      <c r="O19" s="78"/>
      <c r="P19" s="78"/>
      <c r="Q19" s="78"/>
      <c r="R19" s="78"/>
      <c r="S19" s="80" t="str">
        <f t="shared" si="1"/>
        <v/>
      </c>
      <c r="T19" s="80" t="str">
        <f t="shared" si="2"/>
        <v/>
      </c>
      <c r="U19" s="81"/>
      <c r="V19" s="81"/>
      <c r="W19" s="81"/>
      <c r="X19" s="81"/>
      <c r="Y19" s="81"/>
      <c r="Z19" s="81"/>
      <c r="AA19" s="82" t="str">
        <f t="shared" si="3"/>
        <v/>
      </c>
      <c r="AB19" s="82" t="str">
        <f t="shared" si="4"/>
        <v/>
      </c>
      <c r="AC19" s="82" t="str">
        <f t="shared" si="5"/>
        <v/>
      </c>
      <c r="AD19" s="82" t="str">
        <f t="shared" si="6"/>
        <v/>
      </c>
      <c r="AE19" s="83">
        <f t="shared" si="7"/>
        <v>0</v>
      </c>
      <c r="AF19" s="83">
        <f t="shared" si="8"/>
        <v>0</v>
      </c>
      <c r="AG19" s="79"/>
      <c r="AH19" s="78"/>
      <c r="AI19" s="78"/>
    </row>
    <row r="20">
      <c r="A20" s="78"/>
      <c r="B20" s="79"/>
      <c r="C20" s="78"/>
      <c r="D20" s="78"/>
      <c r="E20" s="78"/>
      <c r="F20" s="78"/>
      <c r="G20" s="78"/>
      <c r="H20" s="78"/>
      <c r="I20" s="78"/>
      <c r="J20" s="78"/>
      <c r="K20" s="78"/>
      <c r="L20" s="79"/>
      <c r="M20" s="78"/>
      <c r="N20" s="78"/>
      <c r="O20" s="78"/>
      <c r="P20" s="78"/>
      <c r="Q20" s="78"/>
      <c r="R20" s="78"/>
      <c r="S20" s="80" t="str">
        <f t="shared" si="1"/>
        <v/>
      </c>
      <c r="T20" s="80" t="str">
        <f t="shared" si="2"/>
        <v/>
      </c>
      <c r="U20" s="81"/>
      <c r="V20" s="81"/>
      <c r="W20" s="81"/>
      <c r="X20" s="81"/>
      <c r="Y20" s="81"/>
      <c r="Z20" s="81"/>
      <c r="AA20" s="82" t="str">
        <f t="shared" si="3"/>
        <v/>
      </c>
      <c r="AB20" s="82" t="str">
        <f t="shared" si="4"/>
        <v/>
      </c>
      <c r="AC20" s="82" t="str">
        <f t="shared" si="5"/>
        <v/>
      </c>
      <c r="AD20" s="82" t="str">
        <f t="shared" si="6"/>
        <v/>
      </c>
      <c r="AE20" s="83">
        <f t="shared" si="7"/>
        <v>0</v>
      </c>
      <c r="AF20" s="83">
        <f t="shared" si="8"/>
        <v>0</v>
      </c>
      <c r="AG20" s="79"/>
      <c r="AH20" s="78"/>
      <c r="AI20" s="78"/>
    </row>
    <row r="21" ht="15.75" customHeight="1">
      <c r="A21" s="78"/>
      <c r="B21" s="79"/>
      <c r="C21" s="78"/>
      <c r="D21" s="78"/>
      <c r="E21" s="78"/>
      <c r="F21" s="78"/>
      <c r="G21" s="78"/>
      <c r="H21" s="78"/>
      <c r="I21" s="78"/>
      <c r="J21" s="78"/>
      <c r="K21" s="78"/>
      <c r="L21" s="79"/>
      <c r="M21" s="78"/>
      <c r="N21" s="78"/>
      <c r="O21" s="78"/>
      <c r="P21" s="78"/>
      <c r="Q21" s="78"/>
      <c r="R21" s="78"/>
      <c r="S21" s="80" t="str">
        <f t="shared" si="1"/>
        <v/>
      </c>
      <c r="T21" s="80" t="str">
        <f t="shared" si="2"/>
        <v/>
      </c>
      <c r="U21" s="81"/>
      <c r="V21" s="81"/>
      <c r="W21" s="81"/>
      <c r="X21" s="81"/>
      <c r="Y21" s="81"/>
      <c r="Z21" s="81"/>
      <c r="AA21" s="82" t="str">
        <f t="shared" si="3"/>
        <v/>
      </c>
      <c r="AB21" s="82" t="str">
        <f t="shared" si="4"/>
        <v/>
      </c>
      <c r="AC21" s="82" t="str">
        <f t="shared" si="5"/>
        <v/>
      </c>
      <c r="AD21" s="82" t="str">
        <f t="shared" si="6"/>
        <v/>
      </c>
      <c r="AE21" s="83">
        <f t="shared" si="7"/>
        <v>0</v>
      </c>
      <c r="AF21" s="83">
        <f t="shared" si="8"/>
        <v>0</v>
      </c>
      <c r="AG21" s="79"/>
      <c r="AH21" s="78"/>
      <c r="AI21" s="78"/>
    </row>
    <row r="22" ht="15.75" customHeight="1">
      <c r="A22" s="78"/>
      <c r="B22" s="79"/>
      <c r="C22" s="78"/>
      <c r="D22" s="78"/>
      <c r="E22" s="78"/>
      <c r="F22" s="78"/>
      <c r="G22" s="78"/>
      <c r="H22" s="78"/>
      <c r="I22" s="78"/>
      <c r="J22" s="78"/>
      <c r="K22" s="78"/>
      <c r="L22" s="79"/>
      <c r="M22" s="78"/>
      <c r="N22" s="78"/>
      <c r="O22" s="78"/>
      <c r="P22" s="78"/>
      <c r="Q22" s="78"/>
      <c r="R22" s="78"/>
      <c r="S22" s="80" t="str">
        <f t="shared" si="1"/>
        <v/>
      </c>
      <c r="T22" s="80" t="str">
        <f t="shared" si="2"/>
        <v/>
      </c>
      <c r="U22" s="81"/>
      <c r="V22" s="81"/>
      <c r="W22" s="81"/>
      <c r="X22" s="81"/>
      <c r="Y22" s="81"/>
      <c r="Z22" s="81"/>
      <c r="AA22" s="82" t="str">
        <f t="shared" si="3"/>
        <v/>
      </c>
      <c r="AB22" s="82" t="str">
        <f t="shared" si="4"/>
        <v/>
      </c>
      <c r="AC22" s="82" t="str">
        <f t="shared" si="5"/>
        <v/>
      </c>
      <c r="AD22" s="82" t="str">
        <f t="shared" si="6"/>
        <v/>
      </c>
      <c r="AE22" s="83">
        <f t="shared" si="7"/>
        <v>0</v>
      </c>
      <c r="AF22" s="83">
        <f t="shared" si="8"/>
        <v>0</v>
      </c>
      <c r="AG22" s="79"/>
      <c r="AH22" s="78"/>
      <c r="AI22" s="78"/>
    </row>
    <row r="23" ht="15.75" customHeight="1">
      <c r="A23" s="78"/>
      <c r="B23" s="79"/>
      <c r="C23" s="78"/>
      <c r="D23" s="78"/>
      <c r="E23" s="78"/>
      <c r="F23" s="78"/>
      <c r="G23" s="78"/>
      <c r="H23" s="78"/>
      <c r="I23" s="78"/>
      <c r="J23" s="78"/>
      <c r="K23" s="78"/>
      <c r="L23" s="79"/>
      <c r="M23" s="78"/>
      <c r="N23" s="78"/>
      <c r="O23" s="78"/>
      <c r="P23" s="78"/>
      <c r="Q23" s="78"/>
      <c r="R23" s="78"/>
      <c r="S23" s="80" t="str">
        <f t="shared" si="1"/>
        <v/>
      </c>
      <c r="T23" s="80" t="str">
        <f t="shared" si="2"/>
        <v/>
      </c>
      <c r="U23" s="81"/>
      <c r="V23" s="81"/>
      <c r="W23" s="81"/>
      <c r="X23" s="81"/>
      <c r="Y23" s="81"/>
      <c r="Z23" s="81"/>
      <c r="AA23" s="82" t="str">
        <f t="shared" si="3"/>
        <v/>
      </c>
      <c r="AB23" s="82" t="str">
        <f t="shared" si="4"/>
        <v/>
      </c>
      <c r="AC23" s="82" t="str">
        <f t="shared" si="5"/>
        <v/>
      </c>
      <c r="AD23" s="82" t="str">
        <f t="shared" si="6"/>
        <v/>
      </c>
      <c r="AE23" s="83">
        <f t="shared" si="7"/>
        <v>0</v>
      </c>
      <c r="AF23" s="83">
        <f t="shared" si="8"/>
        <v>0</v>
      </c>
      <c r="AG23" s="79"/>
      <c r="AH23" s="78"/>
      <c r="AI23" s="78"/>
    </row>
    <row r="24" ht="15.75" customHeight="1">
      <c r="A24" s="78"/>
      <c r="B24" s="79"/>
      <c r="C24" s="78"/>
      <c r="D24" s="78"/>
      <c r="E24" s="78"/>
      <c r="F24" s="78"/>
      <c r="G24" s="78"/>
      <c r="H24" s="78"/>
      <c r="I24" s="78"/>
      <c r="J24" s="78"/>
      <c r="K24" s="78"/>
      <c r="L24" s="79"/>
      <c r="M24" s="78"/>
      <c r="N24" s="78"/>
      <c r="O24" s="78"/>
      <c r="P24" s="78"/>
      <c r="Q24" s="78"/>
      <c r="R24" s="78"/>
      <c r="S24" s="80" t="str">
        <f t="shared" si="1"/>
        <v/>
      </c>
      <c r="T24" s="80" t="str">
        <f t="shared" si="2"/>
        <v/>
      </c>
      <c r="U24" s="81"/>
      <c r="V24" s="81"/>
      <c r="W24" s="81"/>
      <c r="X24" s="81"/>
      <c r="Y24" s="81"/>
      <c r="Z24" s="81"/>
      <c r="AA24" s="82" t="str">
        <f t="shared" si="3"/>
        <v/>
      </c>
      <c r="AB24" s="82" t="str">
        <f t="shared" si="4"/>
        <v/>
      </c>
      <c r="AC24" s="82" t="str">
        <f t="shared" si="5"/>
        <v/>
      </c>
      <c r="AD24" s="82" t="str">
        <f t="shared" si="6"/>
        <v/>
      </c>
      <c r="AE24" s="83">
        <f t="shared" si="7"/>
        <v>0</v>
      </c>
      <c r="AF24" s="83">
        <f t="shared" si="8"/>
        <v>0</v>
      </c>
      <c r="AG24" s="79"/>
      <c r="AH24" s="78"/>
      <c r="AI24" s="78"/>
    </row>
    <row r="25" ht="15.75" customHeight="1">
      <c r="A25" s="78"/>
      <c r="B25" s="79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78"/>
      <c r="N25" s="78"/>
      <c r="O25" s="78"/>
      <c r="P25" s="78"/>
      <c r="Q25" s="78"/>
      <c r="R25" s="78"/>
      <c r="S25" s="80" t="str">
        <f t="shared" si="1"/>
        <v/>
      </c>
      <c r="T25" s="80" t="str">
        <f t="shared" si="2"/>
        <v/>
      </c>
      <c r="U25" s="81"/>
      <c r="V25" s="81"/>
      <c r="W25" s="81"/>
      <c r="X25" s="81"/>
      <c r="Y25" s="81"/>
      <c r="Z25" s="81"/>
      <c r="AA25" s="82" t="str">
        <f t="shared" si="3"/>
        <v/>
      </c>
      <c r="AB25" s="82" t="str">
        <f t="shared" si="4"/>
        <v/>
      </c>
      <c r="AC25" s="82" t="str">
        <f t="shared" si="5"/>
        <v/>
      </c>
      <c r="AD25" s="82" t="str">
        <f t="shared" si="6"/>
        <v/>
      </c>
      <c r="AE25" s="83">
        <f t="shared" si="7"/>
        <v>0</v>
      </c>
      <c r="AF25" s="83">
        <f t="shared" si="8"/>
        <v>0</v>
      </c>
      <c r="AG25" s="79"/>
      <c r="AH25" s="78"/>
      <c r="AI25" s="78"/>
    </row>
    <row r="26" ht="15.75" customHeight="1">
      <c r="A26" s="78"/>
      <c r="B26" s="79"/>
      <c r="C26" s="78"/>
      <c r="D26" s="78"/>
      <c r="E26" s="78"/>
      <c r="F26" s="78"/>
      <c r="G26" s="78"/>
      <c r="H26" s="78"/>
      <c r="I26" s="78"/>
      <c r="J26" s="78"/>
      <c r="K26" s="78"/>
      <c r="L26" s="79"/>
      <c r="M26" s="78"/>
      <c r="N26" s="78"/>
      <c r="O26" s="78"/>
      <c r="P26" s="78"/>
      <c r="Q26" s="78"/>
      <c r="R26" s="78"/>
      <c r="S26" s="80" t="str">
        <f t="shared" si="1"/>
        <v/>
      </c>
      <c r="T26" s="80" t="str">
        <f t="shared" si="2"/>
        <v/>
      </c>
      <c r="U26" s="81"/>
      <c r="V26" s="81"/>
      <c r="W26" s="81"/>
      <c r="X26" s="81"/>
      <c r="Y26" s="81"/>
      <c r="Z26" s="81"/>
      <c r="AA26" s="82" t="str">
        <f t="shared" si="3"/>
        <v/>
      </c>
      <c r="AB26" s="82" t="str">
        <f t="shared" si="4"/>
        <v/>
      </c>
      <c r="AC26" s="82" t="str">
        <f t="shared" si="5"/>
        <v/>
      </c>
      <c r="AD26" s="82" t="str">
        <f t="shared" si="6"/>
        <v/>
      </c>
      <c r="AE26" s="83">
        <f t="shared" si="7"/>
        <v>0</v>
      </c>
      <c r="AF26" s="83">
        <f t="shared" si="8"/>
        <v>0</v>
      </c>
      <c r="AG26" s="79"/>
      <c r="AH26" s="78"/>
      <c r="AI26" s="78"/>
    </row>
    <row r="27" ht="15.75" customHeight="1">
      <c r="A27" s="78"/>
      <c r="B27" s="79"/>
      <c r="C27" s="78"/>
      <c r="D27" s="78"/>
      <c r="E27" s="78"/>
      <c r="F27" s="78"/>
      <c r="G27" s="78"/>
      <c r="H27" s="78"/>
      <c r="I27" s="78"/>
      <c r="J27" s="78"/>
      <c r="K27" s="78"/>
      <c r="L27" s="79"/>
      <c r="M27" s="78"/>
      <c r="N27" s="78"/>
      <c r="O27" s="78"/>
      <c r="P27" s="78"/>
      <c r="Q27" s="78"/>
      <c r="R27" s="78"/>
      <c r="S27" s="80" t="str">
        <f t="shared" si="1"/>
        <v/>
      </c>
      <c r="T27" s="80" t="str">
        <f t="shared" si="2"/>
        <v/>
      </c>
      <c r="U27" s="81"/>
      <c r="V27" s="81"/>
      <c r="W27" s="81"/>
      <c r="X27" s="81"/>
      <c r="Y27" s="81"/>
      <c r="Z27" s="81"/>
      <c r="AA27" s="82" t="str">
        <f t="shared" si="3"/>
        <v/>
      </c>
      <c r="AB27" s="82" t="str">
        <f t="shared" si="4"/>
        <v/>
      </c>
      <c r="AC27" s="82" t="str">
        <f t="shared" si="5"/>
        <v/>
      </c>
      <c r="AD27" s="82" t="str">
        <f t="shared" si="6"/>
        <v/>
      </c>
      <c r="AE27" s="83">
        <f t="shared" si="7"/>
        <v>0</v>
      </c>
      <c r="AF27" s="83">
        <f t="shared" si="8"/>
        <v>0</v>
      </c>
      <c r="AG27" s="79"/>
      <c r="AH27" s="78"/>
      <c r="AI27" s="78"/>
    </row>
    <row r="28" ht="15.75" customHeight="1">
      <c r="A28" s="78"/>
      <c r="B28" s="79"/>
      <c r="C28" s="78"/>
      <c r="D28" s="78"/>
      <c r="E28" s="78"/>
      <c r="F28" s="78"/>
      <c r="G28" s="78"/>
      <c r="H28" s="78"/>
      <c r="I28" s="78"/>
      <c r="J28" s="78"/>
      <c r="K28" s="78"/>
      <c r="L28" s="79"/>
      <c r="M28" s="78"/>
      <c r="N28" s="78"/>
      <c r="O28" s="78"/>
      <c r="P28" s="78"/>
      <c r="Q28" s="78"/>
      <c r="R28" s="78"/>
      <c r="S28" s="80" t="str">
        <f t="shared" si="1"/>
        <v/>
      </c>
      <c r="T28" s="80" t="str">
        <f t="shared" si="2"/>
        <v/>
      </c>
      <c r="U28" s="81"/>
      <c r="V28" s="81"/>
      <c r="W28" s="81"/>
      <c r="X28" s="81"/>
      <c r="Y28" s="81"/>
      <c r="Z28" s="81"/>
      <c r="AA28" s="82" t="str">
        <f t="shared" si="3"/>
        <v/>
      </c>
      <c r="AB28" s="82" t="str">
        <f t="shared" si="4"/>
        <v/>
      </c>
      <c r="AC28" s="82" t="str">
        <f t="shared" si="5"/>
        <v/>
      </c>
      <c r="AD28" s="82" t="str">
        <f t="shared" si="6"/>
        <v/>
      </c>
      <c r="AE28" s="83">
        <f t="shared" si="7"/>
        <v>0</v>
      </c>
      <c r="AF28" s="83">
        <f t="shared" si="8"/>
        <v>0</v>
      </c>
      <c r="AG28" s="79"/>
      <c r="AH28" s="78"/>
      <c r="AI28" s="78"/>
    </row>
    <row r="29" ht="15.75" customHeight="1">
      <c r="A29" s="78"/>
      <c r="B29" s="79"/>
      <c r="C29" s="78"/>
      <c r="D29" s="78"/>
      <c r="E29" s="78"/>
      <c r="F29" s="78"/>
      <c r="G29" s="78"/>
      <c r="H29" s="78"/>
      <c r="I29" s="78"/>
      <c r="J29" s="78"/>
      <c r="K29" s="78"/>
      <c r="L29" s="79"/>
      <c r="M29" s="78"/>
      <c r="N29" s="78"/>
      <c r="O29" s="78"/>
      <c r="P29" s="78"/>
      <c r="Q29" s="78"/>
      <c r="R29" s="78"/>
      <c r="S29" s="80" t="str">
        <f t="shared" si="1"/>
        <v/>
      </c>
      <c r="T29" s="80" t="str">
        <f t="shared" si="2"/>
        <v/>
      </c>
      <c r="U29" s="81"/>
      <c r="V29" s="81"/>
      <c r="W29" s="81"/>
      <c r="X29" s="81"/>
      <c r="Y29" s="81"/>
      <c r="Z29" s="81"/>
      <c r="AA29" s="82" t="str">
        <f t="shared" si="3"/>
        <v/>
      </c>
      <c r="AB29" s="82" t="str">
        <f t="shared" si="4"/>
        <v/>
      </c>
      <c r="AC29" s="82" t="str">
        <f t="shared" si="5"/>
        <v/>
      </c>
      <c r="AD29" s="82" t="str">
        <f t="shared" si="6"/>
        <v/>
      </c>
      <c r="AE29" s="83">
        <f t="shared" si="7"/>
        <v>0</v>
      </c>
      <c r="AF29" s="83">
        <f t="shared" si="8"/>
        <v>0</v>
      </c>
      <c r="AG29" s="79"/>
      <c r="AH29" s="78"/>
      <c r="AI29" s="78"/>
    </row>
    <row r="30" ht="15.75" customHeight="1">
      <c r="A30" s="78"/>
      <c r="B30" s="79"/>
      <c r="C30" s="78"/>
      <c r="D30" s="78"/>
      <c r="E30" s="78"/>
      <c r="F30" s="78"/>
      <c r="G30" s="78"/>
      <c r="H30" s="78"/>
      <c r="I30" s="78"/>
      <c r="J30" s="78"/>
      <c r="K30" s="78"/>
      <c r="L30" s="79"/>
      <c r="M30" s="78"/>
      <c r="N30" s="78"/>
      <c r="O30" s="78"/>
      <c r="P30" s="78"/>
      <c r="Q30" s="78"/>
      <c r="R30" s="78"/>
      <c r="S30" s="80" t="str">
        <f t="shared" si="1"/>
        <v/>
      </c>
      <c r="T30" s="80" t="str">
        <f t="shared" si="2"/>
        <v/>
      </c>
      <c r="U30" s="81"/>
      <c r="V30" s="81"/>
      <c r="W30" s="81"/>
      <c r="X30" s="81"/>
      <c r="Y30" s="81"/>
      <c r="Z30" s="81"/>
      <c r="AA30" s="82" t="str">
        <f t="shared" si="3"/>
        <v/>
      </c>
      <c r="AB30" s="82" t="str">
        <f t="shared" si="4"/>
        <v/>
      </c>
      <c r="AC30" s="82" t="str">
        <f t="shared" si="5"/>
        <v/>
      </c>
      <c r="AD30" s="82" t="str">
        <f t="shared" si="6"/>
        <v/>
      </c>
      <c r="AE30" s="83">
        <f t="shared" si="7"/>
        <v>0</v>
      </c>
      <c r="AF30" s="83">
        <f t="shared" si="8"/>
        <v>0</v>
      </c>
      <c r="AG30" s="79"/>
      <c r="AH30" s="78"/>
      <c r="AI30" s="78"/>
    </row>
    <row r="31" ht="15.75" customHeight="1">
      <c r="A31" s="78"/>
      <c r="B31" s="79"/>
      <c r="C31" s="78"/>
      <c r="D31" s="78"/>
      <c r="E31" s="78"/>
      <c r="F31" s="78"/>
      <c r="G31" s="78"/>
      <c r="H31" s="78"/>
      <c r="I31" s="78"/>
      <c r="J31" s="78"/>
      <c r="K31" s="78"/>
      <c r="L31" s="79"/>
      <c r="M31" s="78"/>
      <c r="N31" s="78"/>
      <c r="O31" s="78"/>
      <c r="P31" s="78"/>
      <c r="Q31" s="78"/>
      <c r="R31" s="78"/>
      <c r="S31" s="80" t="str">
        <f t="shared" si="1"/>
        <v/>
      </c>
      <c r="T31" s="80" t="str">
        <f t="shared" si="2"/>
        <v/>
      </c>
      <c r="U31" s="81"/>
      <c r="V31" s="81"/>
      <c r="W31" s="81"/>
      <c r="X31" s="81"/>
      <c r="Y31" s="81"/>
      <c r="Z31" s="81"/>
      <c r="AA31" s="82" t="str">
        <f t="shared" si="3"/>
        <v/>
      </c>
      <c r="AB31" s="82" t="str">
        <f t="shared" si="4"/>
        <v/>
      </c>
      <c r="AC31" s="82" t="str">
        <f t="shared" si="5"/>
        <v/>
      </c>
      <c r="AD31" s="82" t="str">
        <f t="shared" si="6"/>
        <v/>
      </c>
      <c r="AE31" s="83">
        <f t="shared" si="7"/>
        <v>0</v>
      </c>
      <c r="AF31" s="83">
        <f t="shared" si="8"/>
        <v>0</v>
      </c>
      <c r="AG31" s="79"/>
      <c r="AH31" s="78"/>
      <c r="AI31" s="78"/>
    </row>
    <row r="32" ht="15.75" customHeight="1">
      <c r="A32" s="78"/>
      <c r="B32" s="79"/>
      <c r="C32" s="78"/>
      <c r="D32" s="78"/>
      <c r="E32" s="78"/>
      <c r="F32" s="78"/>
      <c r="G32" s="78"/>
      <c r="H32" s="78"/>
      <c r="I32" s="78"/>
      <c r="J32" s="78"/>
      <c r="K32" s="78"/>
      <c r="L32" s="79"/>
      <c r="M32" s="78"/>
      <c r="N32" s="78"/>
      <c r="O32" s="78"/>
      <c r="P32" s="78"/>
      <c r="Q32" s="78"/>
      <c r="R32" s="78"/>
      <c r="S32" s="80" t="str">
        <f t="shared" si="1"/>
        <v/>
      </c>
      <c r="T32" s="80" t="str">
        <f t="shared" si="2"/>
        <v/>
      </c>
      <c r="U32" s="81"/>
      <c r="V32" s="81"/>
      <c r="W32" s="81"/>
      <c r="X32" s="81"/>
      <c r="Y32" s="81"/>
      <c r="Z32" s="81"/>
      <c r="AA32" s="82" t="str">
        <f t="shared" si="3"/>
        <v/>
      </c>
      <c r="AB32" s="82" t="str">
        <f t="shared" si="4"/>
        <v/>
      </c>
      <c r="AC32" s="82" t="str">
        <f t="shared" si="5"/>
        <v/>
      </c>
      <c r="AD32" s="82" t="str">
        <f t="shared" si="6"/>
        <v/>
      </c>
      <c r="AE32" s="83">
        <f t="shared" si="7"/>
        <v>0</v>
      </c>
      <c r="AF32" s="83">
        <f t="shared" si="8"/>
        <v>0</v>
      </c>
      <c r="AG32" s="79"/>
      <c r="AH32" s="78"/>
      <c r="AI32" s="78"/>
    </row>
    <row r="33" ht="15.75" customHeight="1">
      <c r="A33" s="78"/>
      <c r="B33" s="79"/>
      <c r="C33" s="78"/>
      <c r="D33" s="78"/>
      <c r="E33" s="78"/>
      <c r="F33" s="78"/>
      <c r="G33" s="78"/>
      <c r="H33" s="78"/>
      <c r="I33" s="78"/>
      <c r="J33" s="78"/>
      <c r="K33" s="78"/>
      <c r="L33" s="79"/>
      <c r="M33" s="78"/>
      <c r="N33" s="78"/>
      <c r="O33" s="78"/>
      <c r="P33" s="78"/>
      <c r="Q33" s="78"/>
      <c r="R33" s="78"/>
      <c r="S33" s="80" t="str">
        <f t="shared" si="1"/>
        <v/>
      </c>
      <c r="T33" s="80" t="str">
        <f t="shared" si="2"/>
        <v/>
      </c>
      <c r="U33" s="81"/>
      <c r="V33" s="81"/>
      <c r="W33" s="81"/>
      <c r="X33" s="81"/>
      <c r="Y33" s="81"/>
      <c r="Z33" s="81"/>
      <c r="AA33" s="82" t="str">
        <f t="shared" si="3"/>
        <v/>
      </c>
      <c r="AB33" s="82" t="str">
        <f t="shared" si="4"/>
        <v/>
      </c>
      <c r="AC33" s="82" t="str">
        <f t="shared" si="5"/>
        <v/>
      </c>
      <c r="AD33" s="82" t="str">
        <f t="shared" si="6"/>
        <v/>
      </c>
      <c r="AE33" s="83">
        <f t="shared" si="7"/>
        <v>0</v>
      </c>
      <c r="AF33" s="83">
        <f t="shared" si="8"/>
        <v>0</v>
      </c>
      <c r="AG33" s="79"/>
      <c r="AH33" s="78"/>
      <c r="AI33" s="78"/>
    </row>
    <row r="34" ht="15.75" customHeight="1">
      <c r="A34" s="78"/>
      <c r="B34" s="79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78"/>
      <c r="N34" s="78"/>
      <c r="O34" s="78"/>
      <c r="P34" s="78"/>
      <c r="Q34" s="78"/>
      <c r="R34" s="78"/>
      <c r="S34" s="80" t="str">
        <f t="shared" si="1"/>
        <v/>
      </c>
      <c r="T34" s="80" t="str">
        <f t="shared" si="2"/>
        <v/>
      </c>
      <c r="U34" s="81"/>
      <c r="V34" s="81"/>
      <c r="W34" s="81"/>
      <c r="X34" s="81"/>
      <c r="Y34" s="81"/>
      <c r="Z34" s="81"/>
      <c r="AA34" s="82" t="str">
        <f t="shared" si="3"/>
        <v/>
      </c>
      <c r="AB34" s="82" t="str">
        <f t="shared" si="4"/>
        <v/>
      </c>
      <c r="AC34" s="82" t="str">
        <f t="shared" si="5"/>
        <v/>
      </c>
      <c r="AD34" s="82" t="str">
        <f t="shared" si="6"/>
        <v/>
      </c>
      <c r="AE34" s="83">
        <f t="shared" si="7"/>
        <v>0</v>
      </c>
      <c r="AF34" s="83">
        <f t="shared" si="8"/>
        <v>0</v>
      </c>
      <c r="AG34" s="79"/>
      <c r="AH34" s="78"/>
      <c r="AI34" s="78"/>
    </row>
    <row r="35" ht="15.75" customHeight="1">
      <c r="A35" s="78"/>
      <c r="B35" s="79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78"/>
      <c r="N35" s="78"/>
      <c r="O35" s="78"/>
      <c r="P35" s="78"/>
      <c r="Q35" s="78"/>
      <c r="R35" s="78"/>
      <c r="S35" s="80" t="str">
        <f t="shared" si="1"/>
        <v/>
      </c>
      <c r="T35" s="80" t="str">
        <f t="shared" si="2"/>
        <v/>
      </c>
      <c r="U35" s="81"/>
      <c r="V35" s="81"/>
      <c r="W35" s="81"/>
      <c r="X35" s="81"/>
      <c r="Y35" s="81"/>
      <c r="Z35" s="81"/>
      <c r="AA35" s="82" t="str">
        <f t="shared" si="3"/>
        <v/>
      </c>
      <c r="AB35" s="82" t="str">
        <f t="shared" si="4"/>
        <v/>
      </c>
      <c r="AC35" s="82" t="str">
        <f t="shared" si="5"/>
        <v/>
      </c>
      <c r="AD35" s="82" t="str">
        <f t="shared" si="6"/>
        <v/>
      </c>
      <c r="AE35" s="83">
        <f t="shared" si="7"/>
        <v>0</v>
      </c>
      <c r="AF35" s="83">
        <f t="shared" si="8"/>
        <v>0</v>
      </c>
      <c r="AG35" s="79"/>
      <c r="AH35" s="78"/>
      <c r="AI35" s="78"/>
    </row>
    <row r="36" ht="15.75" customHeight="1">
      <c r="A36" s="78"/>
      <c r="B36" s="79"/>
      <c r="C36" s="78"/>
      <c r="D36" s="78"/>
      <c r="E36" s="78"/>
      <c r="F36" s="78"/>
      <c r="G36" s="78"/>
      <c r="H36" s="78"/>
      <c r="I36" s="78"/>
      <c r="J36" s="78"/>
      <c r="K36" s="78"/>
      <c r="L36" s="79"/>
      <c r="M36" s="78"/>
      <c r="N36" s="78"/>
      <c r="O36" s="78"/>
      <c r="P36" s="78"/>
      <c r="Q36" s="78"/>
      <c r="R36" s="78"/>
      <c r="S36" s="80" t="str">
        <f t="shared" si="1"/>
        <v/>
      </c>
      <c r="T36" s="80" t="str">
        <f t="shared" si="2"/>
        <v/>
      </c>
      <c r="U36" s="81"/>
      <c r="V36" s="81"/>
      <c r="W36" s="81"/>
      <c r="X36" s="81"/>
      <c r="Y36" s="81"/>
      <c r="Z36" s="81"/>
      <c r="AA36" s="82" t="str">
        <f t="shared" si="3"/>
        <v/>
      </c>
      <c r="AB36" s="82" t="str">
        <f t="shared" si="4"/>
        <v/>
      </c>
      <c r="AC36" s="82" t="str">
        <f t="shared" si="5"/>
        <v/>
      </c>
      <c r="AD36" s="82" t="str">
        <f t="shared" si="6"/>
        <v/>
      </c>
      <c r="AE36" s="83">
        <f t="shared" si="7"/>
        <v>0</v>
      </c>
      <c r="AF36" s="83">
        <f t="shared" si="8"/>
        <v>0</v>
      </c>
      <c r="AG36" s="79"/>
      <c r="AH36" s="78"/>
      <c r="AI36" s="78"/>
    </row>
    <row r="37" ht="15.75" customHeight="1">
      <c r="A37" s="78"/>
      <c r="B37" s="79"/>
      <c r="C37" s="78"/>
      <c r="D37" s="78"/>
      <c r="E37" s="78"/>
      <c r="F37" s="78"/>
      <c r="G37" s="78"/>
      <c r="H37" s="78"/>
      <c r="I37" s="78"/>
      <c r="J37" s="78"/>
      <c r="K37" s="78"/>
      <c r="L37" s="79"/>
      <c r="M37" s="78"/>
      <c r="N37" s="78"/>
      <c r="O37" s="78"/>
      <c r="P37" s="78"/>
      <c r="Q37" s="78"/>
      <c r="R37" s="78"/>
      <c r="S37" s="80" t="str">
        <f t="shared" si="1"/>
        <v/>
      </c>
      <c r="T37" s="80" t="str">
        <f t="shared" si="2"/>
        <v/>
      </c>
      <c r="U37" s="81"/>
      <c r="V37" s="81"/>
      <c r="W37" s="81"/>
      <c r="X37" s="81"/>
      <c r="Y37" s="81"/>
      <c r="Z37" s="81"/>
      <c r="AA37" s="82" t="str">
        <f t="shared" si="3"/>
        <v/>
      </c>
      <c r="AB37" s="82" t="str">
        <f t="shared" si="4"/>
        <v/>
      </c>
      <c r="AC37" s="82" t="str">
        <f t="shared" si="5"/>
        <v/>
      </c>
      <c r="AD37" s="82" t="str">
        <f t="shared" si="6"/>
        <v/>
      </c>
      <c r="AE37" s="83">
        <f t="shared" si="7"/>
        <v>0</v>
      </c>
      <c r="AF37" s="83">
        <f t="shared" si="8"/>
        <v>0</v>
      </c>
      <c r="AG37" s="79"/>
      <c r="AH37" s="78"/>
      <c r="AI37" s="78"/>
    </row>
    <row r="38" ht="15.75" customHeight="1">
      <c r="A38" s="78"/>
      <c r="B38" s="79"/>
      <c r="C38" s="78"/>
      <c r="D38" s="78"/>
      <c r="E38" s="78"/>
      <c r="F38" s="78"/>
      <c r="G38" s="78"/>
      <c r="H38" s="78"/>
      <c r="I38" s="78"/>
      <c r="J38" s="78"/>
      <c r="K38" s="78"/>
      <c r="L38" s="79"/>
      <c r="M38" s="78"/>
      <c r="N38" s="78"/>
      <c r="O38" s="78"/>
      <c r="P38" s="78"/>
      <c r="Q38" s="78"/>
      <c r="R38" s="78"/>
      <c r="S38" s="80" t="str">
        <f t="shared" si="1"/>
        <v/>
      </c>
      <c r="T38" s="80" t="str">
        <f t="shared" si="2"/>
        <v/>
      </c>
      <c r="U38" s="81"/>
      <c r="V38" s="81"/>
      <c r="W38" s="81"/>
      <c r="X38" s="81"/>
      <c r="Y38" s="81"/>
      <c r="Z38" s="81"/>
      <c r="AA38" s="82" t="str">
        <f t="shared" si="3"/>
        <v/>
      </c>
      <c r="AB38" s="82" t="str">
        <f t="shared" si="4"/>
        <v/>
      </c>
      <c r="AC38" s="82" t="str">
        <f t="shared" si="5"/>
        <v/>
      </c>
      <c r="AD38" s="82" t="str">
        <f t="shared" si="6"/>
        <v/>
      </c>
      <c r="AE38" s="83">
        <f t="shared" si="7"/>
        <v>0</v>
      </c>
      <c r="AF38" s="83">
        <f t="shared" si="8"/>
        <v>0</v>
      </c>
      <c r="AG38" s="79"/>
      <c r="AH38" s="78"/>
      <c r="AI38" s="78"/>
    </row>
    <row r="39" ht="15.75" customHeight="1">
      <c r="A39" s="78"/>
      <c r="B39" s="79"/>
      <c r="C39" s="78"/>
      <c r="D39" s="78"/>
      <c r="E39" s="78"/>
      <c r="F39" s="78"/>
      <c r="G39" s="78"/>
      <c r="H39" s="78"/>
      <c r="I39" s="78"/>
      <c r="J39" s="78"/>
      <c r="K39" s="78"/>
      <c r="L39" s="79"/>
      <c r="M39" s="78"/>
      <c r="N39" s="78"/>
      <c r="O39" s="78"/>
      <c r="P39" s="78"/>
      <c r="Q39" s="78"/>
      <c r="R39" s="78"/>
      <c r="S39" s="80" t="str">
        <f t="shared" si="1"/>
        <v/>
      </c>
      <c r="T39" s="80" t="str">
        <f t="shared" si="2"/>
        <v/>
      </c>
      <c r="U39" s="81"/>
      <c r="V39" s="81"/>
      <c r="W39" s="81"/>
      <c r="X39" s="81"/>
      <c r="Y39" s="81"/>
      <c r="Z39" s="81"/>
      <c r="AA39" s="82" t="str">
        <f t="shared" si="3"/>
        <v/>
      </c>
      <c r="AB39" s="82" t="str">
        <f t="shared" si="4"/>
        <v/>
      </c>
      <c r="AC39" s="82" t="str">
        <f t="shared" si="5"/>
        <v/>
      </c>
      <c r="AD39" s="82" t="str">
        <f t="shared" si="6"/>
        <v/>
      </c>
      <c r="AE39" s="83">
        <f t="shared" si="7"/>
        <v>0</v>
      </c>
      <c r="AF39" s="83">
        <f t="shared" si="8"/>
        <v>0</v>
      </c>
      <c r="AG39" s="79"/>
      <c r="AH39" s="78"/>
      <c r="AI39" s="78"/>
    </row>
    <row r="40" ht="15.75" customHeight="1">
      <c r="A40" s="78"/>
      <c r="B40" s="79"/>
      <c r="C40" s="78"/>
      <c r="D40" s="78"/>
      <c r="E40" s="78"/>
      <c r="F40" s="78"/>
      <c r="G40" s="78"/>
      <c r="H40" s="78"/>
      <c r="I40" s="78"/>
      <c r="J40" s="78"/>
      <c r="K40" s="78"/>
      <c r="L40" s="79"/>
      <c r="M40" s="78"/>
      <c r="N40" s="78"/>
      <c r="O40" s="78"/>
      <c r="P40" s="78"/>
      <c r="Q40" s="78"/>
      <c r="R40" s="78"/>
      <c r="S40" s="80" t="str">
        <f t="shared" si="1"/>
        <v/>
      </c>
      <c r="T40" s="80" t="str">
        <f t="shared" si="2"/>
        <v/>
      </c>
      <c r="U40" s="81"/>
      <c r="V40" s="81"/>
      <c r="W40" s="81"/>
      <c r="X40" s="81"/>
      <c r="Y40" s="81"/>
      <c r="Z40" s="81"/>
      <c r="AA40" s="82" t="str">
        <f t="shared" si="3"/>
        <v/>
      </c>
      <c r="AB40" s="82" t="str">
        <f t="shared" si="4"/>
        <v/>
      </c>
      <c r="AC40" s="82" t="str">
        <f t="shared" si="5"/>
        <v/>
      </c>
      <c r="AD40" s="82" t="str">
        <f t="shared" si="6"/>
        <v/>
      </c>
      <c r="AE40" s="83">
        <f t="shared" si="7"/>
        <v>0</v>
      </c>
      <c r="AF40" s="83">
        <f t="shared" si="8"/>
        <v>0</v>
      </c>
      <c r="AG40" s="79"/>
      <c r="AH40" s="78"/>
      <c r="AI40" s="78"/>
    </row>
    <row r="41" ht="15.75" customHeight="1">
      <c r="A41" s="78"/>
      <c r="B41" s="79"/>
      <c r="C41" s="78"/>
      <c r="D41" s="78"/>
      <c r="E41" s="78"/>
      <c r="F41" s="78"/>
      <c r="G41" s="78"/>
      <c r="H41" s="78"/>
      <c r="I41" s="78"/>
      <c r="J41" s="78"/>
      <c r="K41" s="78"/>
      <c r="L41" s="79"/>
      <c r="M41" s="78"/>
      <c r="N41" s="78"/>
      <c r="O41" s="78"/>
      <c r="P41" s="78"/>
      <c r="Q41" s="78"/>
      <c r="R41" s="78"/>
      <c r="S41" s="80" t="str">
        <f t="shared" si="1"/>
        <v/>
      </c>
      <c r="T41" s="80" t="str">
        <f t="shared" si="2"/>
        <v/>
      </c>
      <c r="U41" s="81"/>
      <c r="V41" s="81"/>
      <c r="W41" s="81"/>
      <c r="X41" s="81"/>
      <c r="Y41" s="81"/>
      <c r="Z41" s="81"/>
      <c r="AA41" s="82" t="str">
        <f t="shared" si="3"/>
        <v/>
      </c>
      <c r="AB41" s="82" t="str">
        <f t="shared" si="4"/>
        <v/>
      </c>
      <c r="AC41" s="82" t="str">
        <f t="shared" si="5"/>
        <v/>
      </c>
      <c r="AD41" s="82" t="str">
        <f t="shared" si="6"/>
        <v/>
      </c>
      <c r="AE41" s="83">
        <f t="shared" si="7"/>
        <v>0</v>
      </c>
      <c r="AF41" s="83">
        <f t="shared" si="8"/>
        <v>0</v>
      </c>
      <c r="AG41" s="79"/>
      <c r="AH41" s="78"/>
      <c r="AI41" s="78"/>
    </row>
    <row r="42" ht="15.75" customHeight="1">
      <c r="A42" s="78"/>
      <c r="B42" s="79"/>
      <c r="C42" s="78"/>
      <c r="D42" s="78"/>
      <c r="E42" s="78"/>
      <c r="F42" s="78"/>
      <c r="G42" s="78"/>
      <c r="H42" s="78"/>
      <c r="I42" s="78"/>
      <c r="J42" s="78"/>
      <c r="K42" s="78"/>
      <c r="L42" s="79"/>
      <c r="M42" s="78"/>
      <c r="N42" s="78"/>
      <c r="O42" s="78"/>
      <c r="P42" s="78"/>
      <c r="Q42" s="78"/>
      <c r="R42" s="78"/>
      <c r="S42" s="80" t="str">
        <f t="shared" si="1"/>
        <v/>
      </c>
      <c r="T42" s="80" t="str">
        <f t="shared" si="2"/>
        <v/>
      </c>
      <c r="U42" s="81"/>
      <c r="V42" s="81"/>
      <c r="W42" s="81"/>
      <c r="X42" s="81"/>
      <c r="Y42" s="81"/>
      <c r="Z42" s="81"/>
      <c r="AA42" s="82" t="str">
        <f t="shared" si="3"/>
        <v/>
      </c>
      <c r="AB42" s="82" t="str">
        <f t="shared" si="4"/>
        <v/>
      </c>
      <c r="AC42" s="82" t="str">
        <f t="shared" si="5"/>
        <v/>
      </c>
      <c r="AD42" s="82" t="str">
        <f t="shared" si="6"/>
        <v/>
      </c>
      <c r="AE42" s="83">
        <f t="shared" si="7"/>
        <v>0</v>
      </c>
      <c r="AF42" s="83">
        <f t="shared" si="8"/>
        <v>0</v>
      </c>
      <c r="AG42" s="79"/>
      <c r="AH42" s="78"/>
      <c r="AI42" s="78"/>
    </row>
    <row r="43" ht="15.75" customHeight="1">
      <c r="A43" s="78"/>
      <c r="B43" s="79"/>
      <c r="C43" s="78"/>
      <c r="D43" s="78"/>
      <c r="E43" s="78"/>
      <c r="F43" s="78"/>
      <c r="G43" s="78"/>
      <c r="H43" s="78"/>
      <c r="I43" s="78"/>
      <c r="J43" s="78"/>
      <c r="K43" s="78"/>
      <c r="L43" s="79"/>
      <c r="M43" s="78"/>
      <c r="N43" s="78"/>
      <c r="O43" s="78"/>
      <c r="P43" s="78"/>
      <c r="Q43" s="78"/>
      <c r="R43" s="78"/>
      <c r="S43" s="80" t="str">
        <f t="shared" si="1"/>
        <v/>
      </c>
      <c r="T43" s="80" t="str">
        <f t="shared" si="2"/>
        <v/>
      </c>
      <c r="U43" s="81"/>
      <c r="V43" s="81"/>
      <c r="W43" s="81"/>
      <c r="X43" s="81"/>
      <c r="Y43" s="81"/>
      <c r="Z43" s="81"/>
      <c r="AA43" s="82" t="str">
        <f t="shared" si="3"/>
        <v/>
      </c>
      <c r="AB43" s="82" t="str">
        <f t="shared" si="4"/>
        <v/>
      </c>
      <c r="AC43" s="82" t="str">
        <f t="shared" si="5"/>
        <v/>
      </c>
      <c r="AD43" s="82" t="str">
        <f t="shared" si="6"/>
        <v/>
      </c>
      <c r="AE43" s="83">
        <f t="shared" si="7"/>
        <v>0</v>
      </c>
      <c r="AF43" s="83">
        <f t="shared" si="8"/>
        <v>0</v>
      </c>
      <c r="AG43" s="79"/>
      <c r="AH43" s="78"/>
      <c r="AI43" s="78"/>
    </row>
    <row r="44" ht="15.75" customHeight="1">
      <c r="A44" s="78"/>
      <c r="B44" s="79"/>
      <c r="C44" s="78"/>
      <c r="D44" s="78"/>
      <c r="E44" s="78"/>
      <c r="F44" s="78"/>
      <c r="G44" s="78"/>
      <c r="H44" s="78"/>
      <c r="I44" s="78"/>
      <c r="J44" s="78"/>
      <c r="K44" s="78"/>
      <c r="L44" s="79"/>
      <c r="M44" s="78"/>
      <c r="N44" s="78"/>
      <c r="O44" s="78"/>
      <c r="P44" s="78"/>
      <c r="Q44" s="78"/>
      <c r="R44" s="78"/>
      <c r="S44" s="80" t="str">
        <f t="shared" si="1"/>
        <v/>
      </c>
      <c r="T44" s="80" t="str">
        <f t="shared" si="2"/>
        <v/>
      </c>
      <c r="U44" s="81"/>
      <c r="V44" s="81"/>
      <c r="W44" s="81"/>
      <c r="X44" s="81"/>
      <c r="Y44" s="81"/>
      <c r="Z44" s="81"/>
      <c r="AA44" s="82" t="str">
        <f t="shared" si="3"/>
        <v/>
      </c>
      <c r="AB44" s="82" t="str">
        <f t="shared" si="4"/>
        <v/>
      </c>
      <c r="AC44" s="82" t="str">
        <f t="shared" si="5"/>
        <v/>
      </c>
      <c r="AD44" s="82" t="str">
        <f t="shared" si="6"/>
        <v/>
      </c>
      <c r="AE44" s="83">
        <f t="shared" si="7"/>
        <v>0</v>
      </c>
      <c r="AF44" s="83">
        <f t="shared" si="8"/>
        <v>0</v>
      </c>
      <c r="AG44" s="79"/>
      <c r="AH44" s="78"/>
      <c r="AI44" s="78"/>
    </row>
    <row r="45" ht="15.75" customHeight="1">
      <c r="A45" s="78"/>
      <c r="B45" s="79"/>
      <c r="C45" s="78"/>
      <c r="D45" s="78"/>
      <c r="E45" s="78"/>
      <c r="F45" s="78"/>
      <c r="G45" s="78"/>
      <c r="H45" s="78"/>
      <c r="I45" s="78"/>
      <c r="J45" s="78"/>
      <c r="K45" s="78"/>
      <c r="L45" s="79"/>
      <c r="M45" s="78"/>
      <c r="N45" s="78"/>
      <c r="O45" s="78"/>
      <c r="P45" s="78"/>
      <c r="Q45" s="78"/>
      <c r="R45" s="78"/>
      <c r="S45" s="80" t="str">
        <f t="shared" si="1"/>
        <v/>
      </c>
      <c r="T45" s="80" t="str">
        <f t="shared" si="2"/>
        <v/>
      </c>
      <c r="U45" s="81"/>
      <c r="V45" s="81"/>
      <c r="W45" s="81"/>
      <c r="X45" s="81"/>
      <c r="Y45" s="81"/>
      <c r="Z45" s="81"/>
      <c r="AA45" s="82" t="str">
        <f t="shared" si="3"/>
        <v/>
      </c>
      <c r="AB45" s="82" t="str">
        <f t="shared" si="4"/>
        <v/>
      </c>
      <c r="AC45" s="82" t="str">
        <f t="shared" si="5"/>
        <v/>
      </c>
      <c r="AD45" s="82" t="str">
        <f t="shared" si="6"/>
        <v/>
      </c>
      <c r="AE45" s="83">
        <f t="shared" si="7"/>
        <v>0</v>
      </c>
      <c r="AF45" s="83">
        <f t="shared" si="8"/>
        <v>0</v>
      </c>
      <c r="AG45" s="79"/>
      <c r="AH45" s="78"/>
      <c r="AI45" s="78"/>
    </row>
    <row r="46" ht="15.75" customHeight="1">
      <c r="A46" s="78"/>
      <c r="B46" s="79"/>
      <c r="C46" s="78"/>
      <c r="D46" s="78"/>
      <c r="E46" s="78"/>
      <c r="F46" s="78"/>
      <c r="G46" s="78"/>
      <c r="H46" s="78"/>
      <c r="I46" s="78"/>
      <c r="J46" s="78"/>
      <c r="K46" s="78"/>
      <c r="L46" s="79"/>
      <c r="M46" s="78"/>
      <c r="N46" s="78"/>
      <c r="O46" s="78"/>
      <c r="P46" s="78"/>
      <c r="Q46" s="78"/>
      <c r="R46" s="78"/>
      <c r="S46" s="80" t="str">
        <f t="shared" si="1"/>
        <v/>
      </c>
      <c r="T46" s="80" t="str">
        <f t="shared" si="2"/>
        <v/>
      </c>
      <c r="U46" s="81"/>
      <c r="V46" s="81"/>
      <c r="W46" s="81"/>
      <c r="X46" s="81"/>
      <c r="Y46" s="81"/>
      <c r="Z46" s="81"/>
      <c r="AA46" s="82" t="str">
        <f t="shared" si="3"/>
        <v/>
      </c>
      <c r="AB46" s="82" t="str">
        <f t="shared" si="4"/>
        <v/>
      </c>
      <c r="AC46" s="82" t="str">
        <f t="shared" si="5"/>
        <v/>
      </c>
      <c r="AD46" s="82" t="str">
        <f t="shared" si="6"/>
        <v/>
      </c>
      <c r="AE46" s="83">
        <f t="shared" si="7"/>
        <v>0</v>
      </c>
      <c r="AF46" s="83">
        <f t="shared" si="8"/>
        <v>0</v>
      </c>
      <c r="AG46" s="79"/>
      <c r="AH46" s="78"/>
      <c r="AI46" s="78"/>
    </row>
    <row r="47" ht="15.75" customHeight="1">
      <c r="A47" s="78"/>
      <c r="B47" s="79"/>
      <c r="C47" s="78"/>
      <c r="D47" s="78"/>
      <c r="E47" s="78"/>
      <c r="F47" s="78"/>
      <c r="G47" s="78"/>
      <c r="H47" s="78"/>
      <c r="I47" s="78"/>
      <c r="J47" s="78"/>
      <c r="K47" s="78"/>
      <c r="L47" s="79"/>
      <c r="M47" s="78"/>
      <c r="N47" s="78"/>
      <c r="O47" s="78"/>
      <c r="P47" s="78"/>
      <c r="Q47" s="78"/>
      <c r="R47" s="78"/>
      <c r="S47" s="80" t="str">
        <f t="shared" si="1"/>
        <v/>
      </c>
      <c r="T47" s="80" t="str">
        <f t="shared" si="2"/>
        <v/>
      </c>
      <c r="U47" s="81"/>
      <c r="V47" s="81"/>
      <c r="W47" s="81"/>
      <c r="X47" s="81"/>
      <c r="Y47" s="81"/>
      <c r="Z47" s="81"/>
      <c r="AA47" s="82" t="str">
        <f t="shared" si="3"/>
        <v/>
      </c>
      <c r="AB47" s="82" t="str">
        <f t="shared" si="4"/>
        <v/>
      </c>
      <c r="AC47" s="82" t="str">
        <f t="shared" si="5"/>
        <v/>
      </c>
      <c r="AD47" s="82" t="str">
        <f t="shared" si="6"/>
        <v/>
      </c>
      <c r="AE47" s="83">
        <f t="shared" si="7"/>
        <v>0</v>
      </c>
      <c r="AF47" s="83">
        <f t="shared" si="8"/>
        <v>0</v>
      </c>
      <c r="AG47" s="79"/>
      <c r="AH47" s="78"/>
      <c r="AI47" s="78"/>
    </row>
    <row r="48" ht="15.75" customHeight="1">
      <c r="A48" s="78"/>
      <c r="B48" s="79"/>
      <c r="C48" s="78"/>
      <c r="D48" s="78"/>
      <c r="E48" s="78"/>
      <c r="F48" s="78"/>
      <c r="G48" s="78"/>
      <c r="H48" s="78"/>
      <c r="I48" s="78"/>
      <c r="J48" s="78"/>
      <c r="K48" s="78"/>
      <c r="L48" s="79"/>
      <c r="M48" s="78"/>
      <c r="N48" s="78"/>
      <c r="O48" s="78"/>
      <c r="P48" s="78"/>
      <c r="Q48" s="78"/>
      <c r="R48" s="78"/>
      <c r="S48" s="80" t="str">
        <f t="shared" si="1"/>
        <v/>
      </c>
      <c r="T48" s="80" t="str">
        <f t="shared" si="2"/>
        <v/>
      </c>
      <c r="U48" s="81"/>
      <c r="V48" s="81"/>
      <c r="W48" s="81"/>
      <c r="X48" s="81"/>
      <c r="Y48" s="81"/>
      <c r="Z48" s="81"/>
      <c r="AA48" s="82" t="str">
        <f t="shared" si="3"/>
        <v/>
      </c>
      <c r="AB48" s="82" t="str">
        <f t="shared" si="4"/>
        <v/>
      </c>
      <c r="AC48" s="82" t="str">
        <f t="shared" si="5"/>
        <v/>
      </c>
      <c r="AD48" s="82" t="str">
        <f t="shared" si="6"/>
        <v/>
      </c>
      <c r="AE48" s="83">
        <f t="shared" si="7"/>
        <v>0</v>
      </c>
      <c r="AF48" s="83">
        <f t="shared" si="8"/>
        <v>0</v>
      </c>
      <c r="AG48" s="79"/>
      <c r="AH48" s="78"/>
      <c r="AI48" s="78"/>
    </row>
    <row r="49" ht="15.75" customHeight="1">
      <c r="A49" s="78"/>
      <c r="B49" s="79"/>
      <c r="C49" s="78"/>
      <c r="D49" s="78"/>
      <c r="E49" s="78"/>
      <c r="F49" s="78"/>
      <c r="G49" s="78"/>
      <c r="H49" s="78"/>
      <c r="I49" s="78"/>
      <c r="J49" s="78"/>
      <c r="K49" s="78"/>
      <c r="L49" s="79"/>
      <c r="M49" s="78"/>
      <c r="N49" s="78"/>
      <c r="O49" s="78"/>
      <c r="P49" s="78"/>
      <c r="Q49" s="78"/>
      <c r="R49" s="78"/>
      <c r="S49" s="80" t="str">
        <f t="shared" si="1"/>
        <v/>
      </c>
      <c r="T49" s="80" t="str">
        <f t="shared" si="2"/>
        <v/>
      </c>
      <c r="U49" s="81"/>
      <c r="V49" s="81"/>
      <c r="W49" s="81"/>
      <c r="X49" s="81"/>
      <c r="Y49" s="81"/>
      <c r="Z49" s="81"/>
      <c r="AA49" s="82" t="str">
        <f t="shared" si="3"/>
        <v/>
      </c>
      <c r="AB49" s="82" t="str">
        <f t="shared" si="4"/>
        <v/>
      </c>
      <c r="AC49" s="82" t="str">
        <f t="shared" si="5"/>
        <v/>
      </c>
      <c r="AD49" s="82" t="str">
        <f t="shared" si="6"/>
        <v/>
      </c>
      <c r="AE49" s="83">
        <f t="shared" si="7"/>
        <v>0</v>
      </c>
      <c r="AF49" s="83">
        <f t="shared" si="8"/>
        <v>0</v>
      </c>
      <c r="AG49" s="79"/>
      <c r="AH49" s="78"/>
      <c r="AI49" s="78"/>
    </row>
    <row r="50" ht="15.75" customHeight="1">
      <c r="A50" s="78"/>
      <c r="B50" s="79"/>
      <c r="C50" s="78"/>
      <c r="D50" s="78"/>
      <c r="E50" s="78"/>
      <c r="F50" s="78"/>
      <c r="G50" s="78"/>
      <c r="H50" s="78"/>
      <c r="I50" s="78"/>
      <c r="J50" s="78"/>
      <c r="K50" s="78"/>
      <c r="L50" s="79"/>
      <c r="M50" s="78"/>
      <c r="N50" s="78"/>
      <c r="O50" s="78"/>
      <c r="P50" s="78"/>
      <c r="Q50" s="78"/>
      <c r="R50" s="78"/>
      <c r="S50" s="80" t="str">
        <f t="shared" si="1"/>
        <v/>
      </c>
      <c r="T50" s="80" t="str">
        <f t="shared" si="2"/>
        <v/>
      </c>
      <c r="U50" s="81"/>
      <c r="V50" s="81"/>
      <c r="W50" s="81"/>
      <c r="X50" s="81"/>
      <c r="Y50" s="81"/>
      <c r="Z50" s="81"/>
      <c r="AA50" s="82" t="str">
        <f t="shared" si="3"/>
        <v/>
      </c>
      <c r="AB50" s="82" t="str">
        <f t="shared" si="4"/>
        <v/>
      </c>
      <c r="AC50" s="82" t="str">
        <f t="shared" si="5"/>
        <v/>
      </c>
      <c r="AD50" s="82" t="str">
        <f t="shared" si="6"/>
        <v/>
      </c>
      <c r="AE50" s="83">
        <f t="shared" si="7"/>
        <v>0</v>
      </c>
      <c r="AF50" s="83">
        <f t="shared" si="8"/>
        <v>0</v>
      </c>
      <c r="AG50" s="79"/>
      <c r="AH50" s="78"/>
      <c r="AI50" s="78"/>
    </row>
    <row r="51" ht="15.75" customHeight="1">
      <c r="A51" s="78"/>
      <c r="B51" s="79"/>
      <c r="C51" s="78"/>
      <c r="D51" s="78"/>
      <c r="E51" s="78"/>
      <c r="F51" s="78"/>
      <c r="G51" s="78"/>
      <c r="H51" s="78"/>
      <c r="I51" s="78"/>
      <c r="J51" s="78"/>
      <c r="K51" s="78"/>
      <c r="L51" s="79"/>
      <c r="M51" s="78"/>
      <c r="N51" s="78"/>
      <c r="O51" s="78"/>
      <c r="P51" s="78"/>
      <c r="Q51" s="78"/>
      <c r="R51" s="78"/>
      <c r="S51" s="80" t="str">
        <f t="shared" si="1"/>
        <v/>
      </c>
      <c r="T51" s="80" t="str">
        <f t="shared" si="2"/>
        <v/>
      </c>
      <c r="U51" s="81"/>
      <c r="V51" s="81"/>
      <c r="W51" s="81"/>
      <c r="X51" s="81"/>
      <c r="Y51" s="81"/>
      <c r="Z51" s="81"/>
      <c r="AA51" s="82" t="str">
        <f t="shared" si="3"/>
        <v/>
      </c>
      <c r="AB51" s="82" t="str">
        <f t="shared" si="4"/>
        <v/>
      </c>
      <c r="AC51" s="82" t="str">
        <f t="shared" si="5"/>
        <v/>
      </c>
      <c r="AD51" s="82" t="str">
        <f t="shared" si="6"/>
        <v/>
      </c>
      <c r="AE51" s="83">
        <f t="shared" si="7"/>
        <v>0</v>
      </c>
      <c r="AF51" s="83">
        <f t="shared" si="8"/>
        <v>0</v>
      </c>
      <c r="AG51" s="79"/>
      <c r="AH51" s="78"/>
      <c r="AI51" s="78"/>
    </row>
    <row r="52" ht="15.75" customHeight="1">
      <c r="A52" s="78"/>
      <c r="B52" s="79"/>
      <c r="C52" s="78"/>
      <c r="D52" s="78"/>
      <c r="E52" s="78"/>
      <c r="F52" s="78"/>
      <c r="G52" s="78"/>
      <c r="H52" s="78"/>
      <c r="I52" s="78"/>
      <c r="J52" s="78"/>
      <c r="K52" s="78"/>
      <c r="L52" s="79"/>
      <c r="M52" s="78"/>
      <c r="N52" s="78"/>
      <c r="O52" s="78"/>
      <c r="P52" s="78"/>
      <c r="Q52" s="78"/>
      <c r="R52" s="78"/>
      <c r="S52" s="80" t="str">
        <f t="shared" si="1"/>
        <v/>
      </c>
      <c r="T52" s="80" t="str">
        <f t="shared" si="2"/>
        <v/>
      </c>
      <c r="U52" s="81"/>
      <c r="V52" s="81"/>
      <c r="W52" s="81"/>
      <c r="X52" s="81"/>
      <c r="Y52" s="81"/>
      <c r="Z52" s="81"/>
      <c r="AA52" s="82" t="str">
        <f t="shared" si="3"/>
        <v/>
      </c>
      <c r="AB52" s="82" t="str">
        <f t="shared" si="4"/>
        <v/>
      </c>
      <c r="AC52" s="82" t="str">
        <f t="shared" si="5"/>
        <v/>
      </c>
      <c r="AD52" s="82" t="str">
        <f t="shared" si="6"/>
        <v/>
      </c>
      <c r="AE52" s="83">
        <f t="shared" si="7"/>
        <v>0</v>
      </c>
      <c r="AF52" s="83">
        <f t="shared" si="8"/>
        <v>0</v>
      </c>
      <c r="AG52" s="79"/>
      <c r="AH52" s="78"/>
      <c r="AI52" s="78"/>
    </row>
    <row r="53" ht="15.75" customHeight="1">
      <c r="A53" s="78"/>
      <c r="B53" s="79"/>
      <c r="C53" s="78"/>
      <c r="D53" s="78"/>
      <c r="E53" s="78"/>
      <c r="F53" s="78"/>
      <c r="G53" s="78"/>
      <c r="H53" s="78"/>
      <c r="I53" s="78"/>
      <c r="J53" s="78"/>
      <c r="K53" s="78"/>
      <c r="L53" s="79"/>
      <c r="M53" s="78"/>
      <c r="N53" s="78"/>
      <c r="O53" s="78"/>
      <c r="P53" s="78"/>
      <c r="Q53" s="78"/>
      <c r="R53" s="78"/>
      <c r="S53" s="80" t="str">
        <f t="shared" si="1"/>
        <v/>
      </c>
      <c r="T53" s="80" t="str">
        <f t="shared" si="2"/>
        <v/>
      </c>
      <c r="U53" s="81"/>
      <c r="V53" s="81"/>
      <c r="W53" s="81"/>
      <c r="X53" s="81"/>
      <c r="Y53" s="81"/>
      <c r="Z53" s="81"/>
      <c r="AA53" s="82" t="str">
        <f t="shared" si="3"/>
        <v/>
      </c>
      <c r="AB53" s="82" t="str">
        <f t="shared" si="4"/>
        <v/>
      </c>
      <c r="AC53" s="82" t="str">
        <f t="shared" si="5"/>
        <v/>
      </c>
      <c r="AD53" s="82" t="str">
        <f t="shared" si="6"/>
        <v/>
      </c>
      <c r="AE53" s="83">
        <f t="shared" si="7"/>
        <v>0</v>
      </c>
      <c r="AF53" s="83">
        <f t="shared" si="8"/>
        <v>0</v>
      </c>
      <c r="AG53" s="79"/>
      <c r="AH53" s="78"/>
      <c r="AI53" s="78"/>
    </row>
    <row r="54" ht="15.75" customHeight="1">
      <c r="A54" s="78"/>
      <c r="B54" s="79"/>
      <c r="C54" s="78"/>
      <c r="D54" s="78"/>
      <c r="E54" s="78"/>
      <c r="F54" s="78"/>
      <c r="G54" s="78"/>
      <c r="H54" s="78"/>
      <c r="I54" s="78"/>
      <c r="J54" s="78"/>
      <c r="K54" s="78"/>
      <c r="L54" s="79"/>
      <c r="M54" s="78"/>
      <c r="N54" s="78"/>
      <c r="O54" s="78"/>
      <c r="P54" s="78"/>
      <c r="Q54" s="78"/>
      <c r="R54" s="78"/>
      <c r="S54" s="80" t="str">
        <f t="shared" si="1"/>
        <v/>
      </c>
      <c r="T54" s="80" t="str">
        <f t="shared" si="2"/>
        <v/>
      </c>
      <c r="U54" s="81"/>
      <c r="V54" s="81"/>
      <c r="W54" s="81"/>
      <c r="X54" s="81"/>
      <c r="Y54" s="81"/>
      <c r="Z54" s="81"/>
      <c r="AA54" s="82" t="str">
        <f t="shared" si="3"/>
        <v/>
      </c>
      <c r="AB54" s="82" t="str">
        <f t="shared" si="4"/>
        <v/>
      </c>
      <c r="AC54" s="82" t="str">
        <f t="shared" si="5"/>
        <v/>
      </c>
      <c r="AD54" s="82" t="str">
        <f t="shared" si="6"/>
        <v/>
      </c>
      <c r="AE54" s="83">
        <f t="shared" si="7"/>
        <v>0</v>
      </c>
      <c r="AF54" s="83">
        <f t="shared" si="8"/>
        <v>0</v>
      </c>
      <c r="AG54" s="79"/>
      <c r="AH54" s="78"/>
      <c r="AI54" s="78"/>
    </row>
    <row r="55" ht="15.75" customHeight="1">
      <c r="A55" s="78"/>
      <c r="B55" s="79"/>
      <c r="C55" s="78"/>
      <c r="D55" s="78"/>
      <c r="E55" s="78"/>
      <c r="F55" s="78"/>
      <c r="G55" s="78"/>
      <c r="H55" s="78"/>
      <c r="I55" s="78"/>
      <c r="J55" s="78"/>
      <c r="K55" s="78"/>
      <c r="L55" s="79"/>
      <c r="M55" s="78"/>
      <c r="N55" s="78"/>
      <c r="O55" s="78"/>
      <c r="P55" s="78"/>
      <c r="Q55" s="78"/>
      <c r="R55" s="78"/>
      <c r="S55" s="80" t="str">
        <f t="shared" si="1"/>
        <v/>
      </c>
      <c r="T55" s="80" t="str">
        <f t="shared" si="2"/>
        <v/>
      </c>
      <c r="U55" s="81"/>
      <c r="V55" s="81"/>
      <c r="W55" s="81"/>
      <c r="X55" s="81"/>
      <c r="Y55" s="81"/>
      <c r="Z55" s="81"/>
      <c r="AA55" s="82" t="str">
        <f t="shared" si="3"/>
        <v/>
      </c>
      <c r="AB55" s="82" t="str">
        <f t="shared" si="4"/>
        <v/>
      </c>
      <c r="AC55" s="82" t="str">
        <f t="shared" si="5"/>
        <v/>
      </c>
      <c r="AD55" s="82" t="str">
        <f t="shared" si="6"/>
        <v/>
      </c>
      <c r="AE55" s="83">
        <f t="shared" si="7"/>
        <v>0</v>
      </c>
      <c r="AF55" s="83">
        <f t="shared" si="8"/>
        <v>0</v>
      </c>
      <c r="AG55" s="79"/>
      <c r="AH55" s="78"/>
      <c r="AI55" s="78"/>
    </row>
    <row r="56" ht="15.75" customHeight="1">
      <c r="A56" s="78"/>
      <c r="B56" s="79"/>
      <c r="C56" s="78"/>
      <c r="D56" s="78"/>
      <c r="E56" s="78"/>
      <c r="F56" s="78"/>
      <c r="G56" s="78"/>
      <c r="H56" s="78"/>
      <c r="I56" s="78"/>
      <c r="J56" s="78"/>
      <c r="K56" s="78"/>
      <c r="L56" s="79"/>
      <c r="M56" s="78"/>
      <c r="N56" s="78"/>
      <c r="O56" s="78"/>
      <c r="P56" s="78"/>
      <c r="Q56" s="78"/>
      <c r="R56" s="78"/>
      <c r="S56" s="80" t="str">
        <f t="shared" si="1"/>
        <v/>
      </c>
      <c r="T56" s="80" t="str">
        <f t="shared" si="2"/>
        <v/>
      </c>
      <c r="U56" s="81"/>
      <c r="V56" s="81"/>
      <c r="W56" s="81"/>
      <c r="X56" s="81"/>
      <c r="Y56" s="81"/>
      <c r="Z56" s="81"/>
      <c r="AA56" s="82" t="str">
        <f t="shared" si="3"/>
        <v/>
      </c>
      <c r="AB56" s="82" t="str">
        <f t="shared" si="4"/>
        <v/>
      </c>
      <c r="AC56" s="82" t="str">
        <f t="shared" si="5"/>
        <v/>
      </c>
      <c r="AD56" s="82" t="str">
        <f t="shared" si="6"/>
        <v/>
      </c>
      <c r="AE56" s="83">
        <f t="shared" si="7"/>
        <v>0</v>
      </c>
      <c r="AF56" s="83">
        <f t="shared" si="8"/>
        <v>0</v>
      </c>
      <c r="AG56" s="79"/>
      <c r="AH56" s="78"/>
      <c r="AI56" s="78"/>
    </row>
    <row r="57" ht="15.75" customHeight="1">
      <c r="A57" s="78"/>
      <c r="B57" s="79"/>
      <c r="C57" s="78"/>
      <c r="D57" s="78"/>
      <c r="E57" s="78"/>
      <c r="F57" s="78"/>
      <c r="G57" s="78"/>
      <c r="H57" s="78"/>
      <c r="I57" s="78"/>
      <c r="J57" s="78"/>
      <c r="K57" s="78"/>
      <c r="L57" s="79"/>
      <c r="M57" s="78"/>
      <c r="N57" s="78"/>
      <c r="O57" s="78"/>
      <c r="P57" s="78"/>
      <c r="Q57" s="78"/>
      <c r="R57" s="78"/>
      <c r="S57" s="80" t="str">
        <f t="shared" si="1"/>
        <v/>
      </c>
      <c r="T57" s="80" t="str">
        <f t="shared" si="2"/>
        <v/>
      </c>
      <c r="U57" s="81"/>
      <c r="V57" s="81"/>
      <c r="W57" s="81"/>
      <c r="X57" s="81"/>
      <c r="Y57" s="81"/>
      <c r="Z57" s="81"/>
      <c r="AA57" s="82" t="str">
        <f t="shared" si="3"/>
        <v/>
      </c>
      <c r="AB57" s="82" t="str">
        <f t="shared" si="4"/>
        <v/>
      </c>
      <c r="AC57" s="82" t="str">
        <f t="shared" si="5"/>
        <v/>
      </c>
      <c r="AD57" s="82" t="str">
        <f t="shared" si="6"/>
        <v/>
      </c>
      <c r="AE57" s="83">
        <f t="shared" si="7"/>
        <v>0</v>
      </c>
      <c r="AF57" s="83">
        <f t="shared" si="8"/>
        <v>0</v>
      </c>
      <c r="AG57" s="79"/>
      <c r="AH57" s="78"/>
      <c r="AI57" s="78"/>
    </row>
    <row r="58" ht="15.75" customHeight="1">
      <c r="A58" s="78"/>
      <c r="B58" s="79"/>
      <c r="C58" s="78"/>
      <c r="D58" s="78"/>
      <c r="E58" s="78"/>
      <c r="F58" s="78"/>
      <c r="G58" s="78"/>
      <c r="H58" s="78"/>
      <c r="I58" s="78"/>
      <c r="J58" s="78"/>
      <c r="K58" s="78"/>
      <c r="L58" s="79"/>
      <c r="M58" s="78"/>
      <c r="N58" s="78"/>
      <c r="O58" s="78"/>
      <c r="P58" s="78"/>
      <c r="Q58" s="78"/>
      <c r="R58" s="78"/>
      <c r="S58" s="80" t="str">
        <f t="shared" si="1"/>
        <v/>
      </c>
      <c r="T58" s="80" t="str">
        <f t="shared" si="2"/>
        <v/>
      </c>
      <c r="U58" s="81"/>
      <c r="V58" s="81"/>
      <c r="W58" s="81"/>
      <c r="X58" s="81"/>
      <c r="Y58" s="81"/>
      <c r="Z58" s="81"/>
      <c r="AA58" s="82" t="str">
        <f t="shared" si="3"/>
        <v/>
      </c>
      <c r="AB58" s="82" t="str">
        <f t="shared" si="4"/>
        <v/>
      </c>
      <c r="AC58" s="82" t="str">
        <f t="shared" si="5"/>
        <v/>
      </c>
      <c r="AD58" s="82" t="str">
        <f t="shared" si="6"/>
        <v/>
      </c>
      <c r="AE58" s="83">
        <f t="shared" si="7"/>
        <v>0</v>
      </c>
      <c r="AF58" s="83">
        <f t="shared" si="8"/>
        <v>0</v>
      </c>
      <c r="AG58" s="79"/>
      <c r="AH58" s="78"/>
      <c r="AI58" s="78"/>
    </row>
    <row r="59" ht="15.75" customHeight="1">
      <c r="A59" s="78"/>
      <c r="B59" s="79"/>
      <c r="C59" s="78"/>
      <c r="D59" s="78"/>
      <c r="E59" s="78"/>
      <c r="F59" s="78"/>
      <c r="G59" s="78"/>
      <c r="H59" s="78"/>
      <c r="I59" s="78"/>
      <c r="J59" s="78"/>
      <c r="K59" s="78"/>
      <c r="L59" s="79"/>
      <c r="M59" s="78"/>
      <c r="N59" s="78"/>
      <c r="O59" s="78"/>
      <c r="P59" s="78"/>
      <c r="Q59" s="78"/>
      <c r="R59" s="78"/>
      <c r="S59" s="80" t="str">
        <f t="shared" si="1"/>
        <v/>
      </c>
      <c r="T59" s="80" t="str">
        <f t="shared" si="2"/>
        <v/>
      </c>
      <c r="U59" s="81"/>
      <c r="V59" s="81"/>
      <c r="W59" s="81"/>
      <c r="X59" s="81"/>
      <c r="Y59" s="81"/>
      <c r="Z59" s="81"/>
      <c r="AA59" s="82" t="str">
        <f t="shared" si="3"/>
        <v/>
      </c>
      <c r="AB59" s="82" t="str">
        <f t="shared" si="4"/>
        <v/>
      </c>
      <c r="AC59" s="82" t="str">
        <f t="shared" si="5"/>
        <v/>
      </c>
      <c r="AD59" s="82" t="str">
        <f t="shared" si="6"/>
        <v/>
      </c>
      <c r="AE59" s="83">
        <f t="shared" si="7"/>
        <v>0</v>
      </c>
      <c r="AF59" s="83">
        <f t="shared" si="8"/>
        <v>0</v>
      </c>
      <c r="AG59" s="79"/>
      <c r="AH59" s="78"/>
      <c r="AI59" s="78"/>
    </row>
    <row r="60" ht="15.75" customHeight="1">
      <c r="A60" s="78"/>
      <c r="B60" s="79"/>
      <c r="C60" s="78"/>
      <c r="D60" s="78"/>
      <c r="E60" s="78"/>
      <c r="F60" s="78"/>
      <c r="G60" s="78"/>
      <c r="H60" s="78"/>
      <c r="I60" s="78"/>
      <c r="J60" s="78"/>
      <c r="K60" s="78"/>
      <c r="L60" s="79"/>
      <c r="M60" s="78"/>
      <c r="N60" s="78"/>
      <c r="O60" s="78"/>
      <c r="P60" s="78"/>
      <c r="Q60" s="78"/>
      <c r="R60" s="78"/>
      <c r="S60" s="80" t="str">
        <f t="shared" si="1"/>
        <v/>
      </c>
      <c r="T60" s="80" t="str">
        <f t="shared" si="2"/>
        <v/>
      </c>
      <c r="U60" s="81"/>
      <c r="V60" s="81"/>
      <c r="W60" s="81"/>
      <c r="X60" s="81"/>
      <c r="Y60" s="81"/>
      <c r="Z60" s="81"/>
      <c r="AA60" s="82" t="str">
        <f t="shared" si="3"/>
        <v/>
      </c>
      <c r="AB60" s="82" t="str">
        <f t="shared" si="4"/>
        <v/>
      </c>
      <c r="AC60" s="82" t="str">
        <f t="shared" si="5"/>
        <v/>
      </c>
      <c r="AD60" s="82" t="str">
        <f t="shared" si="6"/>
        <v/>
      </c>
      <c r="AE60" s="83">
        <f t="shared" si="7"/>
        <v>0</v>
      </c>
      <c r="AF60" s="83">
        <f t="shared" si="8"/>
        <v>0</v>
      </c>
      <c r="AG60" s="79"/>
      <c r="AH60" s="78"/>
      <c r="AI60" s="78"/>
    </row>
    <row r="61" ht="15.75" customHeight="1">
      <c r="A61" s="78"/>
      <c r="B61" s="79"/>
      <c r="C61" s="78"/>
      <c r="D61" s="78"/>
      <c r="E61" s="78"/>
      <c r="F61" s="78"/>
      <c r="G61" s="78"/>
      <c r="H61" s="78"/>
      <c r="I61" s="78"/>
      <c r="J61" s="78"/>
      <c r="K61" s="78"/>
      <c r="L61" s="79"/>
      <c r="M61" s="78"/>
      <c r="N61" s="78"/>
      <c r="O61" s="78"/>
      <c r="P61" s="78"/>
      <c r="Q61" s="78"/>
      <c r="R61" s="78"/>
      <c r="S61" s="80" t="str">
        <f t="shared" si="1"/>
        <v/>
      </c>
      <c r="T61" s="80" t="str">
        <f t="shared" si="2"/>
        <v/>
      </c>
      <c r="U61" s="81"/>
      <c r="V61" s="81"/>
      <c r="W61" s="81"/>
      <c r="X61" s="81"/>
      <c r="Y61" s="81"/>
      <c r="Z61" s="81"/>
      <c r="AA61" s="82" t="str">
        <f t="shared" si="3"/>
        <v/>
      </c>
      <c r="AB61" s="82" t="str">
        <f t="shared" si="4"/>
        <v/>
      </c>
      <c r="AC61" s="82" t="str">
        <f t="shared" si="5"/>
        <v/>
      </c>
      <c r="AD61" s="82" t="str">
        <f t="shared" si="6"/>
        <v/>
      </c>
      <c r="AE61" s="83">
        <f t="shared" si="7"/>
        <v>0</v>
      </c>
      <c r="AF61" s="83">
        <f t="shared" si="8"/>
        <v>0</v>
      </c>
      <c r="AG61" s="79"/>
      <c r="AH61" s="78"/>
      <c r="AI61" s="78"/>
    </row>
    <row r="62" ht="15.75" customHeight="1">
      <c r="A62" s="78"/>
      <c r="B62" s="79"/>
      <c r="C62" s="78"/>
      <c r="D62" s="78"/>
      <c r="E62" s="78"/>
      <c r="F62" s="78"/>
      <c r="G62" s="78"/>
      <c r="H62" s="78"/>
      <c r="I62" s="78"/>
      <c r="J62" s="78"/>
      <c r="K62" s="78"/>
      <c r="L62" s="79"/>
      <c r="M62" s="78"/>
      <c r="N62" s="78"/>
      <c r="O62" s="78"/>
      <c r="P62" s="78"/>
      <c r="Q62" s="78"/>
      <c r="R62" s="78"/>
      <c r="S62" s="80" t="str">
        <f t="shared" si="1"/>
        <v/>
      </c>
      <c r="T62" s="80" t="str">
        <f t="shared" si="2"/>
        <v/>
      </c>
      <c r="U62" s="81"/>
      <c r="V62" s="81"/>
      <c r="W62" s="81"/>
      <c r="X62" s="81"/>
      <c r="Y62" s="81"/>
      <c r="Z62" s="81"/>
      <c r="AA62" s="82" t="str">
        <f t="shared" si="3"/>
        <v/>
      </c>
      <c r="AB62" s="82" t="str">
        <f t="shared" si="4"/>
        <v/>
      </c>
      <c r="AC62" s="82" t="str">
        <f t="shared" si="5"/>
        <v/>
      </c>
      <c r="AD62" s="82" t="str">
        <f t="shared" si="6"/>
        <v/>
      </c>
      <c r="AE62" s="83">
        <f t="shared" si="7"/>
        <v>0</v>
      </c>
      <c r="AF62" s="83">
        <f t="shared" si="8"/>
        <v>0</v>
      </c>
      <c r="AG62" s="79"/>
      <c r="AH62" s="78"/>
      <c r="AI62" s="78"/>
    </row>
    <row r="63" ht="15.75" customHeight="1">
      <c r="A63" s="78"/>
      <c r="B63" s="79"/>
      <c r="C63" s="78"/>
      <c r="D63" s="78"/>
      <c r="E63" s="78"/>
      <c r="F63" s="78"/>
      <c r="G63" s="78"/>
      <c r="H63" s="78"/>
      <c r="I63" s="78"/>
      <c r="J63" s="78"/>
      <c r="K63" s="78"/>
      <c r="L63" s="79"/>
      <c r="M63" s="78"/>
      <c r="N63" s="78"/>
      <c r="O63" s="78"/>
      <c r="P63" s="78"/>
      <c r="Q63" s="78"/>
      <c r="R63" s="78"/>
      <c r="S63" s="80" t="str">
        <f t="shared" si="1"/>
        <v/>
      </c>
      <c r="T63" s="80" t="str">
        <f t="shared" si="2"/>
        <v/>
      </c>
      <c r="U63" s="81"/>
      <c r="V63" s="81"/>
      <c r="W63" s="81"/>
      <c r="X63" s="81"/>
      <c r="Y63" s="81"/>
      <c r="Z63" s="81"/>
      <c r="AA63" s="82" t="str">
        <f t="shared" si="3"/>
        <v/>
      </c>
      <c r="AB63" s="82" t="str">
        <f t="shared" si="4"/>
        <v/>
      </c>
      <c r="AC63" s="82" t="str">
        <f t="shared" si="5"/>
        <v/>
      </c>
      <c r="AD63" s="82" t="str">
        <f t="shared" si="6"/>
        <v/>
      </c>
      <c r="AE63" s="83">
        <f t="shared" si="7"/>
        <v>0</v>
      </c>
      <c r="AF63" s="83">
        <f t="shared" si="8"/>
        <v>0</v>
      </c>
      <c r="AG63" s="79"/>
      <c r="AH63" s="78"/>
      <c r="AI63" s="78"/>
    </row>
    <row r="64" ht="15.75" customHeight="1">
      <c r="A64" s="78"/>
      <c r="B64" s="79"/>
      <c r="C64" s="78"/>
      <c r="D64" s="78"/>
      <c r="E64" s="78"/>
      <c r="F64" s="78"/>
      <c r="G64" s="78"/>
      <c r="H64" s="78"/>
      <c r="I64" s="78"/>
      <c r="J64" s="78"/>
      <c r="K64" s="78"/>
      <c r="L64" s="79"/>
      <c r="M64" s="78"/>
      <c r="N64" s="78"/>
      <c r="O64" s="78"/>
      <c r="P64" s="78"/>
      <c r="Q64" s="78"/>
      <c r="R64" s="78"/>
      <c r="S64" s="80" t="str">
        <f t="shared" si="1"/>
        <v/>
      </c>
      <c r="T64" s="80" t="str">
        <f t="shared" si="2"/>
        <v/>
      </c>
      <c r="U64" s="81"/>
      <c r="V64" s="81"/>
      <c r="W64" s="81"/>
      <c r="X64" s="81"/>
      <c r="Y64" s="81"/>
      <c r="Z64" s="81"/>
      <c r="AA64" s="82" t="str">
        <f t="shared" si="3"/>
        <v/>
      </c>
      <c r="AB64" s="82" t="str">
        <f t="shared" si="4"/>
        <v/>
      </c>
      <c r="AC64" s="82" t="str">
        <f t="shared" si="5"/>
        <v/>
      </c>
      <c r="AD64" s="82" t="str">
        <f t="shared" si="6"/>
        <v/>
      </c>
      <c r="AE64" s="83">
        <f t="shared" si="7"/>
        <v>0</v>
      </c>
      <c r="AF64" s="83">
        <f t="shared" si="8"/>
        <v>0</v>
      </c>
      <c r="AG64" s="79"/>
      <c r="AH64" s="78"/>
      <c r="AI64" s="78"/>
    </row>
    <row r="65" ht="15.75" customHeight="1">
      <c r="A65" s="78"/>
      <c r="B65" s="79"/>
      <c r="C65" s="78"/>
      <c r="D65" s="78"/>
      <c r="E65" s="78"/>
      <c r="F65" s="78"/>
      <c r="G65" s="78"/>
      <c r="H65" s="78"/>
      <c r="I65" s="78"/>
      <c r="J65" s="78"/>
      <c r="K65" s="78"/>
      <c r="L65" s="79"/>
      <c r="M65" s="78"/>
      <c r="N65" s="78"/>
      <c r="O65" s="78"/>
      <c r="P65" s="78"/>
      <c r="Q65" s="78"/>
      <c r="R65" s="78"/>
      <c r="S65" s="80" t="str">
        <f t="shared" si="1"/>
        <v/>
      </c>
      <c r="T65" s="80" t="str">
        <f t="shared" si="2"/>
        <v/>
      </c>
      <c r="U65" s="81"/>
      <c r="V65" s="81"/>
      <c r="W65" s="81"/>
      <c r="X65" s="81"/>
      <c r="Y65" s="81"/>
      <c r="Z65" s="81"/>
      <c r="AA65" s="82" t="str">
        <f t="shared" si="3"/>
        <v/>
      </c>
      <c r="AB65" s="82" t="str">
        <f t="shared" si="4"/>
        <v/>
      </c>
      <c r="AC65" s="82" t="str">
        <f t="shared" si="5"/>
        <v/>
      </c>
      <c r="AD65" s="82" t="str">
        <f t="shared" si="6"/>
        <v/>
      </c>
      <c r="AE65" s="83">
        <f t="shared" si="7"/>
        <v>0</v>
      </c>
      <c r="AF65" s="83">
        <f t="shared" si="8"/>
        <v>0</v>
      </c>
      <c r="AG65" s="79"/>
      <c r="AH65" s="78"/>
      <c r="AI65" s="78"/>
    </row>
    <row r="66" ht="15.75" customHeight="1">
      <c r="A66" s="78"/>
      <c r="B66" s="79"/>
      <c r="C66" s="78"/>
      <c r="D66" s="78"/>
      <c r="E66" s="78"/>
      <c r="F66" s="78"/>
      <c r="G66" s="78"/>
      <c r="H66" s="78"/>
      <c r="I66" s="78"/>
      <c r="J66" s="78"/>
      <c r="K66" s="78"/>
      <c r="L66" s="79"/>
      <c r="M66" s="78"/>
      <c r="N66" s="78"/>
      <c r="O66" s="78"/>
      <c r="P66" s="78"/>
      <c r="Q66" s="78"/>
      <c r="R66" s="78"/>
      <c r="S66" s="80" t="str">
        <f t="shared" si="1"/>
        <v/>
      </c>
      <c r="T66" s="80" t="str">
        <f t="shared" si="2"/>
        <v/>
      </c>
      <c r="U66" s="81"/>
      <c r="V66" s="81"/>
      <c r="W66" s="81"/>
      <c r="X66" s="81"/>
      <c r="Y66" s="81"/>
      <c r="Z66" s="81"/>
      <c r="AA66" s="82" t="str">
        <f t="shared" si="3"/>
        <v/>
      </c>
      <c r="AB66" s="82" t="str">
        <f t="shared" si="4"/>
        <v/>
      </c>
      <c r="AC66" s="82" t="str">
        <f t="shared" si="5"/>
        <v/>
      </c>
      <c r="AD66" s="82" t="str">
        <f t="shared" si="6"/>
        <v/>
      </c>
      <c r="AE66" s="83">
        <f t="shared" si="7"/>
        <v>0</v>
      </c>
      <c r="AF66" s="83">
        <f t="shared" si="8"/>
        <v>0</v>
      </c>
      <c r="AG66" s="79"/>
      <c r="AH66" s="78"/>
      <c r="AI66" s="78"/>
    </row>
    <row r="67" ht="15.75" customHeight="1">
      <c r="A67" s="78"/>
      <c r="B67" s="79"/>
      <c r="C67" s="78"/>
      <c r="D67" s="78"/>
      <c r="E67" s="78"/>
      <c r="F67" s="78"/>
      <c r="G67" s="78"/>
      <c r="H67" s="78"/>
      <c r="I67" s="78"/>
      <c r="J67" s="78"/>
      <c r="K67" s="78"/>
      <c r="L67" s="79"/>
      <c r="M67" s="78"/>
      <c r="N67" s="78"/>
      <c r="O67" s="78"/>
      <c r="P67" s="78"/>
      <c r="Q67" s="78"/>
      <c r="R67" s="78"/>
      <c r="S67" s="80" t="str">
        <f t="shared" si="1"/>
        <v/>
      </c>
      <c r="T67" s="80" t="str">
        <f t="shared" si="2"/>
        <v/>
      </c>
      <c r="U67" s="81"/>
      <c r="V67" s="81"/>
      <c r="W67" s="81"/>
      <c r="X67" s="81"/>
      <c r="Y67" s="81"/>
      <c r="Z67" s="81"/>
      <c r="AA67" s="82" t="str">
        <f t="shared" si="3"/>
        <v/>
      </c>
      <c r="AB67" s="82" t="str">
        <f t="shared" si="4"/>
        <v/>
      </c>
      <c r="AC67" s="82" t="str">
        <f t="shared" si="5"/>
        <v/>
      </c>
      <c r="AD67" s="82" t="str">
        <f t="shared" si="6"/>
        <v/>
      </c>
      <c r="AE67" s="83">
        <f t="shared" si="7"/>
        <v>0</v>
      </c>
      <c r="AF67" s="83">
        <f t="shared" si="8"/>
        <v>0</v>
      </c>
      <c r="AG67" s="79"/>
      <c r="AH67" s="78"/>
      <c r="AI67" s="78"/>
    </row>
    <row r="68" ht="15.75" customHeight="1">
      <c r="A68" s="78"/>
      <c r="B68" s="79"/>
      <c r="C68" s="78"/>
      <c r="D68" s="78"/>
      <c r="E68" s="78"/>
      <c r="F68" s="78"/>
      <c r="G68" s="78"/>
      <c r="H68" s="78"/>
      <c r="I68" s="78"/>
      <c r="J68" s="78"/>
      <c r="K68" s="78"/>
      <c r="L68" s="79"/>
      <c r="M68" s="78"/>
      <c r="N68" s="78"/>
      <c r="O68" s="78"/>
      <c r="P68" s="78"/>
      <c r="Q68" s="78"/>
      <c r="R68" s="78"/>
      <c r="S68" s="80" t="str">
        <f t="shared" si="1"/>
        <v/>
      </c>
      <c r="T68" s="80" t="str">
        <f t="shared" si="2"/>
        <v/>
      </c>
      <c r="U68" s="81"/>
      <c r="V68" s="81"/>
      <c r="W68" s="81"/>
      <c r="X68" s="81"/>
      <c r="Y68" s="81"/>
      <c r="Z68" s="81"/>
      <c r="AA68" s="82" t="str">
        <f t="shared" si="3"/>
        <v/>
      </c>
      <c r="AB68" s="82" t="str">
        <f t="shared" si="4"/>
        <v/>
      </c>
      <c r="AC68" s="82" t="str">
        <f t="shared" si="5"/>
        <v/>
      </c>
      <c r="AD68" s="82" t="str">
        <f t="shared" si="6"/>
        <v/>
      </c>
      <c r="AE68" s="83">
        <f t="shared" si="7"/>
        <v>0</v>
      </c>
      <c r="AF68" s="83">
        <f t="shared" si="8"/>
        <v>0</v>
      </c>
      <c r="AG68" s="79"/>
      <c r="AH68" s="78"/>
      <c r="AI68" s="78"/>
    </row>
    <row r="69" ht="15.75" customHeight="1">
      <c r="A69" s="78"/>
      <c r="B69" s="79"/>
      <c r="C69" s="78"/>
      <c r="D69" s="78"/>
      <c r="E69" s="78"/>
      <c r="F69" s="78"/>
      <c r="G69" s="78"/>
      <c r="H69" s="78"/>
      <c r="I69" s="78"/>
      <c r="J69" s="78"/>
      <c r="K69" s="78"/>
      <c r="L69" s="79"/>
      <c r="M69" s="78"/>
      <c r="N69" s="78"/>
      <c r="O69" s="78"/>
      <c r="P69" s="78"/>
      <c r="Q69" s="78"/>
      <c r="R69" s="78"/>
      <c r="S69" s="80" t="str">
        <f t="shared" si="1"/>
        <v/>
      </c>
      <c r="T69" s="80" t="str">
        <f t="shared" si="2"/>
        <v/>
      </c>
      <c r="U69" s="81"/>
      <c r="V69" s="81"/>
      <c r="W69" s="81"/>
      <c r="X69" s="81"/>
      <c r="Y69" s="81"/>
      <c r="Z69" s="81"/>
      <c r="AA69" s="82" t="str">
        <f t="shared" si="3"/>
        <v/>
      </c>
      <c r="AB69" s="82" t="str">
        <f t="shared" si="4"/>
        <v/>
      </c>
      <c r="AC69" s="82" t="str">
        <f t="shared" si="5"/>
        <v/>
      </c>
      <c r="AD69" s="82" t="str">
        <f t="shared" si="6"/>
        <v/>
      </c>
      <c r="AE69" s="83">
        <f t="shared" si="7"/>
        <v>0</v>
      </c>
      <c r="AF69" s="83">
        <f t="shared" si="8"/>
        <v>0</v>
      </c>
      <c r="AG69" s="79"/>
      <c r="AH69" s="78"/>
      <c r="AI69" s="78"/>
    </row>
    <row r="70" ht="15.75" customHeight="1">
      <c r="A70" s="78"/>
      <c r="B70" s="79"/>
      <c r="C70" s="78"/>
      <c r="D70" s="78"/>
      <c r="E70" s="78"/>
      <c r="F70" s="78"/>
      <c r="G70" s="78"/>
      <c r="H70" s="78"/>
      <c r="I70" s="78"/>
      <c r="J70" s="78"/>
      <c r="K70" s="78"/>
      <c r="L70" s="79"/>
      <c r="M70" s="78"/>
      <c r="N70" s="78"/>
      <c r="O70" s="78"/>
      <c r="P70" s="78"/>
      <c r="Q70" s="78"/>
      <c r="R70" s="78"/>
      <c r="S70" s="80" t="str">
        <f t="shared" si="1"/>
        <v/>
      </c>
      <c r="T70" s="80" t="str">
        <f t="shared" si="2"/>
        <v/>
      </c>
      <c r="U70" s="81"/>
      <c r="V70" s="81"/>
      <c r="W70" s="81"/>
      <c r="X70" s="81"/>
      <c r="Y70" s="81"/>
      <c r="Z70" s="81"/>
      <c r="AA70" s="82" t="str">
        <f t="shared" si="3"/>
        <v/>
      </c>
      <c r="AB70" s="82" t="str">
        <f t="shared" si="4"/>
        <v/>
      </c>
      <c r="AC70" s="82" t="str">
        <f t="shared" si="5"/>
        <v/>
      </c>
      <c r="AD70" s="82" t="str">
        <f t="shared" si="6"/>
        <v/>
      </c>
      <c r="AE70" s="83">
        <f t="shared" si="7"/>
        <v>0</v>
      </c>
      <c r="AF70" s="83">
        <f t="shared" si="8"/>
        <v>0</v>
      </c>
      <c r="AG70" s="79"/>
      <c r="AH70" s="78"/>
      <c r="AI70" s="78"/>
    </row>
    <row r="71" ht="15.75" customHeight="1">
      <c r="A71" s="78"/>
      <c r="B71" s="79"/>
      <c r="C71" s="78"/>
      <c r="D71" s="78"/>
      <c r="E71" s="78"/>
      <c r="F71" s="78"/>
      <c r="G71" s="78"/>
      <c r="H71" s="78"/>
      <c r="I71" s="78"/>
      <c r="J71" s="78"/>
      <c r="K71" s="78"/>
      <c r="L71" s="79"/>
      <c r="M71" s="78"/>
      <c r="N71" s="78"/>
      <c r="O71" s="78"/>
      <c r="P71" s="78"/>
      <c r="Q71" s="78"/>
      <c r="R71" s="78"/>
      <c r="S71" s="80" t="str">
        <f t="shared" si="1"/>
        <v/>
      </c>
      <c r="T71" s="80" t="str">
        <f t="shared" si="2"/>
        <v/>
      </c>
      <c r="U71" s="81"/>
      <c r="V71" s="81"/>
      <c r="W71" s="81"/>
      <c r="X71" s="81"/>
      <c r="Y71" s="81"/>
      <c r="Z71" s="81"/>
      <c r="AA71" s="82" t="str">
        <f t="shared" si="3"/>
        <v/>
      </c>
      <c r="AB71" s="82" t="str">
        <f t="shared" si="4"/>
        <v/>
      </c>
      <c r="AC71" s="82" t="str">
        <f t="shared" si="5"/>
        <v/>
      </c>
      <c r="AD71" s="82" t="str">
        <f t="shared" si="6"/>
        <v/>
      </c>
      <c r="AE71" s="83">
        <f t="shared" si="7"/>
        <v>0</v>
      </c>
      <c r="AF71" s="83">
        <f t="shared" si="8"/>
        <v>0</v>
      </c>
      <c r="AG71" s="79"/>
      <c r="AH71" s="78"/>
      <c r="AI71" s="78"/>
    </row>
    <row r="72" ht="15.75" customHeight="1">
      <c r="A72" s="78"/>
      <c r="B72" s="79"/>
      <c r="C72" s="78"/>
      <c r="D72" s="78"/>
      <c r="E72" s="78"/>
      <c r="F72" s="78"/>
      <c r="G72" s="78"/>
      <c r="H72" s="78"/>
      <c r="I72" s="78"/>
      <c r="J72" s="78"/>
      <c r="K72" s="78"/>
      <c r="L72" s="79"/>
      <c r="M72" s="78"/>
      <c r="N72" s="78"/>
      <c r="O72" s="78"/>
      <c r="P72" s="78"/>
      <c r="Q72" s="78"/>
      <c r="R72" s="78"/>
      <c r="S72" s="80" t="str">
        <f t="shared" si="1"/>
        <v/>
      </c>
      <c r="T72" s="80" t="str">
        <f t="shared" si="2"/>
        <v/>
      </c>
      <c r="U72" s="81"/>
      <c r="V72" s="81"/>
      <c r="W72" s="81"/>
      <c r="X72" s="81"/>
      <c r="Y72" s="81"/>
      <c r="Z72" s="81"/>
      <c r="AA72" s="82" t="str">
        <f t="shared" si="3"/>
        <v/>
      </c>
      <c r="AB72" s="82" t="str">
        <f t="shared" si="4"/>
        <v/>
      </c>
      <c r="AC72" s="82" t="str">
        <f t="shared" si="5"/>
        <v/>
      </c>
      <c r="AD72" s="82" t="str">
        <f t="shared" si="6"/>
        <v/>
      </c>
      <c r="AE72" s="83">
        <f t="shared" si="7"/>
        <v>0</v>
      </c>
      <c r="AF72" s="83">
        <f t="shared" si="8"/>
        <v>0</v>
      </c>
      <c r="AG72" s="79"/>
      <c r="AH72" s="78"/>
      <c r="AI72" s="78"/>
    </row>
    <row r="73" ht="15.75" customHeight="1">
      <c r="A73" s="78"/>
      <c r="B73" s="79"/>
      <c r="C73" s="78"/>
      <c r="D73" s="78"/>
      <c r="E73" s="78"/>
      <c r="F73" s="78"/>
      <c r="G73" s="78"/>
      <c r="H73" s="78"/>
      <c r="I73" s="78"/>
      <c r="J73" s="78"/>
      <c r="K73" s="78"/>
      <c r="L73" s="79"/>
      <c r="M73" s="78"/>
      <c r="N73" s="78"/>
      <c r="O73" s="78"/>
      <c r="P73" s="78"/>
      <c r="Q73" s="78"/>
      <c r="R73" s="78"/>
      <c r="S73" s="80" t="str">
        <f t="shared" si="1"/>
        <v/>
      </c>
      <c r="T73" s="80" t="str">
        <f t="shared" si="2"/>
        <v/>
      </c>
      <c r="U73" s="81"/>
      <c r="V73" s="81"/>
      <c r="W73" s="81"/>
      <c r="X73" s="81"/>
      <c r="Y73" s="81"/>
      <c r="Z73" s="81"/>
      <c r="AA73" s="82" t="str">
        <f t="shared" si="3"/>
        <v/>
      </c>
      <c r="AB73" s="82" t="str">
        <f t="shared" si="4"/>
        <v/>
      </c>
      <c r="AC73" s="82" t="str">
        <f t="shared" si="5"/>
        <v/>
      </c>
      <c r="AD73" s="82" t="str">
        <f t="shared" si="6"/>
        <v/>
      </c>
      <c r="AE73" s="83">
        <f t="shared" si="7"/>
        <v>0</v>
      </c>
      <c r="AF73" s="83">
        <f t="shared" si="8"/>
        <v>0</v>
      </c>
      <c r="AG73" s="79"/>
      <c r="AH73" s="78"/>
      <c r="AI73" s="78"/>
    </row>
    <row r="74" ht="15.75" customHeight="1">
      <c r="A74" s="78"/>
      <c r="B74" s="79"/>
      <c r="C74" s="78"/>
      <c r="D74" s="78"/>
      <c r="E74" s="78"/>
      <c r="F74" s="78"/>
      <c r="G74" s="78"/>
      <c r="H74" s="78"/>
      <c r="I74" s="78"/>
      <c r="J74" s="78"/>
      <c r="K74" s="78"/>
      <c r="L74" s="79"/>
      <c r="M74" s="78"/>
      <c r="N74" s="78"/>
      <c r="O74" s="78"/>
      <c r="P74" s="78"/>
      <c r="Q74" s="78"/>
      <c r="R74" s="78"/>
      <c r="S74" s="80" t="str">
        <f t="shared" si="1"/>
        <v/>
      </c>
      <c r="T74" s="80" t="str">
        <f t="shared" si="2"/>
        <v/>
      </c>
      <c r="U74" s="81"/>
      <c r="V74" s="81"/>
      <c r="W74" s="81"/>
      <c r="X74" s="81"/>
      <c r="Y74" s="81"/>
      <c r="Z74" s="81"/>
      <c r="AA74" s="82" t="str">
        <f t="shared" si="3"/>
        <v/>
      </c>
      <c r="AB74" s="82" t="str">
        <f t="shared" si="4"/>
        <v/>
      </c>
      <c r="AC74" s="82" t="str">
        <f t="shared" si="5"/>
        <v/>
      </c>
      <c r="AD74" s="82" t="str">
        <f t="shared" si="6"/>
        <v/>
      </c>
      <c r="AE74" s="83">
        <f t="shared" si="7"/>
        <v>0</v>
      </c>
      <c r="AF74" s="83">
        <f t="shared" si="8"/>
        <v>0</v>
      </c>
      <c r="AG74" s="79"/>
      <c r="AH74" s="78"/>
      <c r="AI74" s="78"/>
    </row>
    <row r="75" ht="15.75" customHeight="1">
      <c r="A75" s="78"/>
      <c r="B75" s="79"/>
      <c r="C75" s="78"/>
      <c r="D75" s="78"/>
      <c r="E75" s="78"/>
      <c r="F75" s="78"/>
      <c r="G75" s="78"/>
      <c r="H75" s="78"/>
      <c r="I75" s="78"/>
      <c r="J75" s="78"/>
      <c r="K75" s="78"/>
      <c r="L75" s="79"/>
      <c r="M75" s="78"/>
      <c r="N75" s="78"/>
      <c r="O75" s="78"/>
      <c r="P75" s="78"/>
      <c r="Q75" s="78"/>
      <c r="R75" s="78"/>
      <c r="S75" s="80" t="str">
        <f t="shared" si="1"/>
        <v/>
      </c>
      <c r="T75" s="80" t="str">
        <f t="shared" si="2"/>
        <v/>
      </c>
      <c r="U75" s="81"/>
      <c r="V75" s="81"/>
      <c r="W75" s="81"/>
      <c r="X75" s="81"/>
      <c r="Y75" s="81"/>
      <c r="Z75" s="81"/>
      <c r="AA75" s="82" t="str">
        <f t="shared" si="3"/>
        <v/>
      </c>
      <c r="AB75" s="82" t="str">
        <f t="shared" si="4"/>
        <v/>
      </c>
      <c r="AC75" s="82" t="str">
        <f t="shared" si="5"/>
        <v/>
      </c>
      <c r="AD75" s="82" t="str">
        <f t="shared" si="6"/>
        <v/>
      </c>
      <c r="AE75" s="83">
        <f t="shared" si="7"/>
        <v>0</v>
      </c>
      <c r="AF75" s="83">
        <f t="shared" si="8"/>
        <v>0</v>
      </c>
      <c r="AG75" s="79"/>
      <c r="AH75" s="78"/>
      <c r="AI75" s="78"/>
    </row>
    <row r="76" ht="15.75" customHeight="1">
      <c r="A76" s="78"/>
      <c r="B76" s="79"/>
      <c r="C76" s="78"/>
      <c r="D76" s="78"/>
      <c r="E76" s="78"/>
      <c r="F76" s="78"/>
      <c r="G76" s="78"/>
      <c r="H76" s="78"/>
      <c r="I76" s="78"/>
      <c r="J76" s="78"/>
      <c r="K76" s="78"/>
      <c r="L76" s="79"/>
      <c r="M76" s="78"/>
      <c r="N76" s="78"/>
      <c r="O76" s="78"/>
      <c r="P76" s="78"/>
      <c r="Q76" s="78"/>
      <c r="R76" s="78"/>
      <c r="S76" s="80" t="str">
        <f t="shared" si="1"/>
        <v/>
      </c>
      <c r="T76" s="80" t="str">
        <f t="shared" si="2"/>
        <v/>
      </c>
      <c r="U76" s="81"/>
      <c r="V76" s="81"/>
      <c r="W76" s="81"/>
      <c r="X76" s="81"/>
      <c r="Y76" s="81"/>
      <c r="Z76" s="81"/>
      <c r="AA76" s="82" t="str">
        <f t="shared" si="3"/>
        <v/>
      </c>
      <c r="AB76" s="82" t="str">
        <f t="shared" si="4"/>
        <v/>
      </c>
      <c r="AC76" s="82" t="str">
        <f t="shared" si="5"/>
        <v/>
      </c>
      <c r="AD76" s="82" t="str">
        <f t="shared" si="6"/>
        <v/>
      </c>
      <c r="AE76" s="83">
        <f t="shared" si="7"/>
        <v>0</v>
      </c>
      <c r="AF76" s="83">
        <f t="shared" si="8"/>
        <v>0</v>
      </c>
      <c r="AG76" s="79"/>
      <c r="AH76" s="78"/>
      <c r="AI76" s="78"/>
    </row>
    <row r="77" ht="15.75" customHeight="1">
      <c r="A77" s="78"/>
      <c r="B77" s="79"/>
      <c r="C77" s="78"/>
      <c r="D77" s="78"/>
      <c r="E77" s="78"/>
      <c r="F77" s="78"/>
      <c r="G77" s="78"/>
      <c r="H77" s="78"/>
      <c r="I77" s="78"/>
      <c r="J77" s="78"/>
      <c r="K77" s="78"/>
      <c r="L77" s="79"/>
      <c r="M77" s="78"/>
      <c r="N77" s="78"/>
      <c r="O77" s="78"/>
      <c r="P77" s="78"/>
      <c r="Q77" s="78"/>
      <c r="R77" s="78"/>
      <c r="S77" s="80" t="str">
        <f t="shared" si="1"/>
        <v/>
      </c>
      <c r="T77" s="80" t="str">
        <f t="shared" si="2"/>
        <v/>
      </c>
      <c r="U77" s="81"/>
      <c r="V77" s="81"/>
      <c r="W77" s="81"/>
      <c r="X77" s="81"/>
      <c r="Y77" s="81"/>
      <c r="Z77" s="81"/>
      <c r="AA77" s="82" t="str">
        <f t="shared" si="3"/>
        <v/>
      </c>
      <c r="AB77" s="82" t="str">
        <f t="shared" si="4"/>
        <v/>
      </c>
      <c r="AC77" s="82" t="str">
        <f t="shared" si="5"/>
        <v/>
      </c>
      <c r="AD77" s="82" t="str">
        <f t="shared" si="6"/>
        <v/>
      </c>
      <c r="AE77" s="83">
        <f t="shared" si="7"/>
        <v>0</v>
      </c>
      <c r="AF77" s="83">
        <f t="shared" si="8"/>
        <v>0</v>
      </c>
      <c r="AG77" s="79"/>
      <c r="AH77" s="78"/>
      <c r="AI77" s="78"/>
    </row>
    <row r="78" ht="15.75" customHeight="1">
      <c r="A78" s="78"/>
      <c r="B78" s="79"/>
      <c r="C78" s="78"/>
      <c r="D78" s="78"/>
      <c r="E78" s="78"/>
      <c r="F78" s="78"/>
      <c r="G78" s="78"/>
      <c r="H78" s="78"/>
      <c r="I78" s="78"/>
      <c r="J78" s="78"/>
      <c r="K78" s="78"/>
      <c r="L78" s="79"/>
      <c r="M78" s="78"/>
      <c r="N78" s="78"/>
      <c r="O78" s="78"/>
      <c r="P78" s="78"/>
      <c r="Q78" s="78"/>
      <c r="R78" s="78"/>
      <c r="S78" s="80" t="str">
        <f t="shared" si="1"/>
        <v/>
      </c>
      <c r="T78" s="80" t="str">
        <f t="shared" si="2"/>
        <v/>
      </c>
      <c r="U78" s="81"/>
      <c r="V78" s="81"/>
      <c r="W78" s="81"/>
      <c r="X78" s="81"/>
      <c r="Y78" s="81"/>
      <c r="Z78" s="81"/>
      <c r="AA78" s="82" t="str">
        <f t="shared" si="3"/>
        <v/>
      </c>
      <c r="AB78" s="82" t="str">
        <f t="shared" si="4"/>
        <v/>
      </c>
      <c r="AC78" s="82" t="str">
        <f t="shared" si="5"/>
        <v/>
      </c>
      <c r="AD78" s="82" t="str">
        <f t="shared" si="6"/>
        <v/>
      </c>
      <c r="AE78" s="83">
        <f t="shared" si="7"/>
        <v>0</v>
      </c>
      <c r="AF78" s="83">
        <f t="shared" si="8"/>
        <v>0</v>
      </c>
      <c r="AG78" s="79"/>
      <c r="AH78" s="78"/>
      <c r="AI78" s="78"/>
    </row>
    <row r="79" ht="15.75" customHeight="1">
      <c r="A79" s="78"/>
      <c r="B79" s="79"/>
      <c r="C79" s="78"/>
      <c r="D79" s="78"/>
      <c r="E79" s="78"/>
      <c r="F79" s="78"/>
      <c r="G79" s="78"/>
      <c r="H79" s="78"/>
      <c r="I79" s="78"/>
      <c r="J79" s="78"/>
      <c r="K79" s="78"/>
      <c r="L79" s="79"/>
      <c r="M79" s="78"/>
      <c r="N79" s="78"/>
      <c r="O79" s="78"/>
      <c r="P79" s="78"/>
      <c r="Q79" s="78"/>
      <c r="R79" s="78"/>
      <c r="S79" s="80" t="str">
        <f t="shared" si="1"/>
        <v/>
      </c>
      <c r="T79" s="80" t="str">
        <f t="shared" si="2"/>
        <v/>
      </c>
      <c r="U79" s="81"/>
      <c r="V79" s="81"/>
      <c r="W79" s="81"/>
      <c r="X79" s="81"/>
      <c r="Y79" s="81"/>
      <c r="Z79" s="81"/>
      <c r="AA79" s="82" t="str">
        <f t="shared" si="3"/>
        <v/>
      </c>
      <c r="AB79" s="82" t="str">
        <f t="shared" si="4"/>
        <v/>
      </c>
      <c r="AC79" s="82" t="str">
        <f t="shared" si="5"/>
        <v/>
      </c>
      <c r="AD79" s="82" t="str">
        <f t="shared" si="6"/>
        <v/>
      </c>
      <c r="AE79" s="83">
        <f t="shared" si="7"/>
        <v>0</v>
      </c>
      <c r="AF79" s="83">
        <f t="shared" si="8"/>
        <v>0</v>
      </c>
      <c r="AG79" s="79"/>
      <c r="AH79" s="78"/>
      <c r="AI79" s="78"/>
    </row>
    <row r="80" ht="15.75" customHeight="1">
      <c r="A80" s="78"/>
      <c r="B80" s="79"/>
      <c r="C80" s="78"/>
      <c r="D80" s="78"/>
      <c r="E80" s="78"/>
      <c r="F80" s="78"/>
      <c r="G80" s="78"/>
      <c r="H80" s="78"/>
      <c r="I80" s="78"/>
      <c r="J80" s="78"/>
      <c r="K80" s="78"/>
      <c r="L80" s="79"/>
      <c r="M80" s="78"/>
      <c r="N80" s="78"/>
      <c r="O80" s="78"/>
      <c r="P80" s="78"/>
      <c r="Q80" s="78"/>
      <c r="R80" s="78"/>
      <c r="S80" s="80" t="str">
        <f t="shared" si="1"/>
        <v/>
      </c>
      <c r="T80" s="80" t="str">
        <f t="shared" si="2"/>
        <v/>
      </c>
      <c r="U80" s="81"/>
      <c r="V80" s="81"/>
      <c r="W80" s="81"/>
      <c r="X80" s="81"/>
      <c r="Y80" s="81"/>
      <c r="Z80" s="81"/>
      <c r="AA80" s="82" t="str">
        <f t="shared" si="3"/>
        <v/>
      </c>
      <c r="AB80" s="82" t="str">
        <f t="shared" si="4"/>
        <v/>
      </c>
      <c r="AC80" s="82" t="str">
        <f t="shared" si="5"/>
        <v/>
      </c>
      <c r="AD80" s="82" t="str">
        <f t="shared" si="6"/>
        <v/>
      </c>
      <c r="AE80" s="83">
        <f t="shared" si="7"/>
        <v>0</v>
      </c>
      <c r="AF80" s="83">
        <f t="shared" si="8"/>
        <v>0</v>
      </c>
      <c r="AG80" s="79"/>
      <c r="AH80" s="78"/>
      <c r="AI80" s="78"/>
    </row>
    <row r="81" ht="15.75" customHeight="1">
      <c r="A81" s="78"/>
      <c r="B81" s="79"/>
      <c r="C81" s="78"/>
      <c r="D81" s="78"/>
      <c r="E81" s="78"/>
      <c r="F81" s="78"/>
      <c r="G81" s="78"/>
      <c r="H81" s="78"/>
      <c r="I81" s="78"/>
      <c r="J81" s="78"/>
      <c r="K81" s="78"/>
      <c r="L81" s="79"/>
      <c r="M81" s="78"/>
      <c r="N81" s="78"/>
      <c r="O81" s="78"/>
      <c r="P81" s="78"/>
      <c r="Q81" s="78"/>
      <c r="R81" s="78"/>
      <c r="S81" s="80" t="str">
        <f t="shared" si="1"/>
        <v/>
      </c>
      <c r="T81" s="80" t="str">
        <f t="shared" si="2"/>
        <v/>
      </c>
      <c r="U81" s="81"/>
      <c r="V81" s="81"/>
      <c r="W81" s="81"/>
      <c r="X81" s="81"/>
      <c r="Y81" s="81"/>
      <c r="Z81" s="81"/>
      <c r="AA81" s="82" t="str">
        <f t="shared" si="3"/>
        <v/>
      </c>
      <c r="AB81" s="82" t="str">
        <f t="shared" si="4"/>
        <v/>
      </c>
      <c r="AC81" s="82" t="str">
        <f t="shared" si="5"/>
        <v/>
      </c>
      <c r="AD81" s="82" t="str">
        <f t="shared" si="6"/>
        <v/>
      </c>
      <c r="AE81" s="83">
        <f t="shared" si="7"/>
        <v>0</v>
      </c>
      <c r="AF81" s="83">
        <f t="shared" si="8"/>
        <v>0</v>
      </c>
      <c r="AG81" s="79"/>
      <c r="AH81" s="78"/>
      <c r="AI81" s="78"/>
    </row>
    <row r="82" ht="15.75" customHeight="1">
      <c r="A82" s="78"/>
      <c r="B82" s="79"/>
      <c r="C82" s="78"/>
      <c r="D82" s="78"/>
      <c r="E82" s="78"/>
      <c r="F82" s="78"/>
      <c r="G82" s="78"/>
      <c r="H82" s="78"/>
      <c r="I82" s="78"/>
      <c r="J82" s="78"/>
      <c r="K82" s="78"/>
      <c r="L82" s="79"/>
      <c r="M82" s="78"/>
      <c r="N82" s="78"/>
      <c r="O82" s="78"/>
      <c r="P82" s="78"/>
      <c r="Q82" s="78"/>
      <c r="R82" s="78"/>
      <c r="S82" s="80" t="str">
        <f t="shared" si="1"/>
        <v/>
      </c>
      <c r="T82" s="80" t="str">
        <f t="shared" si="2"/>
        <v/>
      </c>
      <c r="U82" s="81"/>
      <c r="V82" s="81"/>
      <c r="W82" s="81"/>
      <c r="X82" s="81"/>
      <c r="Y82" s="81"/>
      <c r="Z82" s="81"/>
      <c r="AA82" s="82" t="str">
        <f t="shared" si="3"/>
        <v/>
      </c>
      <c r="AB82" s="82" t="str">
        <f t="shared" si="4"/>
        <v/>
      </c>
      <c r="AC82" s="82" t="str">
        <f t="shared" si="5"/>
        <v/>
      </c>
      <c r="AD82" s="82" t="str">
        <f t="shared" si="6"/>
        <v/>
      </c>
      <c r="AE82" s="83">
        <f t="shared" si="7"/>
        <v>0</v>
      </c>
      <c r="AF82" s="83">
        <f t="shared" si="8"/>
        <v>0</v>
      </c>
      <c r="AG82" s="79"/>
      <c r="AH82" s="78"/>
      <c r="AI82" s="78"/>
    </row>
    <row r="83" ht="15.75" customHeight="1">
      <c r="A83" s="78"/>
      <c r="B83" s="79"/>
      <c r="C83" s="78"/>
      <c r="D83" s="78"/>
      <c r="E83" s="78"/>
      <c r="F83" s="78"/>
      <c r="G83" s="78"/>
      <c r="H83" s="78"/>
      <c r="I83" s="78"/>
      <c r="J83" s="78"/>
      <c r="K83" s="78"/>
      <c r="L83" s="79"/>
      <c r="M83" s="78"/>
      <c r="N83" s="78"/>
      <c r="O83" s="78"/>
      <c r="P83" s="78"/>
      <c r="Q83" s="78"/>
      <c r="R83" s="78"/>
      <c r="S83" s="80" t="str">
        <f t="shared" si="1"/>
        <v/>
      </c>
      <c r="T83" s="80" t="str">
        <f t="shared" si="2"/>
        <v/>
      </c>
      <c r="U83" s="81"/>
      <c r="V83" s="81"/>
      <c r="W83" s="81"/>
      <c r="X83" s="81"/>
      <c r="Y83" s="81"/>
      <c r="Z83" s="81"/>
      <c r="AA83" s="82" t="str">
        <f t="shared" si="3"/>
        <v/>
      </c>
      <c r="AB83" s="82" t="str">
        <f t="shared" si="4"/>
        <v/>
      </c>
      <c r="AC83" s="82" t="str">
        <f t="shared" si="5"/>
        <v/>
      </c>
      <c r="AD83" s="82" t="str">
        <f t="shared" si="6"/>
        <v/>
      </c>
      <c r="AE83" s="83">
        <f t="shared" si="7"/>
        <v>0</v>
      </c>
      <c r="AF83" s="83">
        <f t="shared" si="8"/>
        <v>0</v>
      </c>
      <c r="AG83" s="79"/>
      <c r="AH83" s="78"/>
      <c r="AI83" s="78"/>
    </row>
    <row r="84" ht="15.75" customHeight="1">
      <c r="A84" s="78"/>
      <c r="B84" s="79"/>
      <c r="C84" s="78"/>
      <c r="D84" s="78"/>
      <c r="E84" s="78"/>
      <c r="F84" s="78"/>
      <c r="G84" s="78"/>
      <c r="H84" s="78"/>
      <c r="I84" s="78"/>
      <c r="J84" s="78"/>
      <c r="K84" s="78"/>
      <c r="L84" s="79"/>
      <c r="M84" s="78"/>
      <c r="N84" s="78"/>
      <c r="O84" s="78"/>
      <c r="P84" s="78"/>
      <c r="Q84" s="78"/>
      <c r="R84" s="78"/>
      <c r="S84" s="80" t="str">
        <f t="shared" si="1"/>
        <v/>
      </c>
      <c r="T84" s="80" t="str">
        <f t="shared" si="2"/>
        <v/>
      </c>
      <c r="U84" s="81"/>
      <c r="V84" s="81"/>
      <c r="W84" s="81"/>
      <c r="X84" s="81"/>
      <c r="Y84" s="81"/>
      <c r="Z84" s="81"/>
      <c r="AA84" s="82" t="str">
        <f t="shared" si="3"/>
        <v/>
      </c>
      <c r="AB84" s="82" t="str">
        <f t="shared" si="4"/>
        <v/>
      </c>
      <c r="AC84" s="82" t="str">
        <f t="shared" si="5"/>
        <v/>
      </c>
      <c r="AD84" s="82" t="str">
        <f t="shared" si="6"/>
        <v/>
      </c>
      <c r="AE84" s="83">
        <f t="shared" si="7"/>
        <v>0</v>
      </c>
      <c r="AF84" s="83">
        <f t="shared" si="8"/>
        <v>0</v>
      </c>
      <c r="AG84" s="79"/>
      <c r="AH84" s="78"/>
      <c r="AI84" s="78"/>
    </row>
    <row r="85" ht="15.75" customHeight="1">
      <c r="A85" s="78"/>
      <c r="B85" s="79"/>
      <c r="C85" s="78"/>
      <c r="D85" s="78"/>
      <c r="E85" s="78"/>
      <c r="F85" s="78"/>
      <c r="G85" s="78"/>
      <c r="H85" s="78"/>
      <c r="I85" s="78"/>
      <c r="J85" s="78"/>
      <c r="K85" s="78"/>
      <c r="L85" s="79"/>
      <c r="M85" s="78"/>
      <c r="N85" s="78"/>
      <c r="O85" s="78"/>
      <c r="P85" s="78"/>
      <c r="Q85" s="78"/>
      <c r="R85" s="78"/>
      <c r="S85" s="80" t="str">
        <f t="shared" si="1"/>
        <v/>
      </c>
      <c r="T85" s="80" t="str">
        <f t="shared" si="2"/>
        <v/>
      </c>
      <c r="U85" s="81"/>
      <c r="V85" s="81"/>
      <c r="W85" s="81"/>
      <c r="X85" s="81"/>
      <c r="Y85" s="81"/>
      <c r="Z85" s="81"/>
      <c r="AA85" s="82" t="str">
        <f t="shared" si="3"/>
        <v/>
      </c>
      <c r="AB85" s="82" t="str">
        <f t="shared" si="4"/>
        <v/>
      </c>
      <c r="AC85" s="82" t="str">
        <f t="shared" si="5"/>
        <v/>
      </c>
      <c r="AD85" s="82" t="str">
        <f t="shared" si="6"/>
        <v/>
      </c>
      <c r="AE85" s="83">
        <f t="shared" si="7"/>
        <v>0</v>
      </c>
      <c r="AF85" s="83">
        <f t="shared" si="8"/>
        <v>0</v>
      </c>
      <c r="AG85" s="79"/>
      <c r="AH85" s="78"/>
      <c r="AI85" s="78"/>
    </row>
    <row r="86" ht="15.75" customHeight="1">
      <c r="A86" s="78"/>
      <c r="B86" s="79"/>
      <c r="C86" s="78"/>
      <c r="D86" s="78"/>
      <c r="E86" s="78"/>
      <c r="F86" s="78"/>
      <c r="G86" s="78"/>
      <c r="H86" s="78"/>
      <c r="I86" s="78"/>
      <c r="J86" s="78"/>
      <c r="K86" s="78"/>
      <c r="L86" s="79"/>
      <c r="M86" s="78"/>
      <c r="N86" s="78"/>
      <c r="O86" s="78"/>
      <c r="P86" s="78"/>
      <c r="Q86" s="78"/>
      <c r="R86" s="78"/>
      <c r="S86" s="80" t="str">
        <f t="shared" si="1"/>
        <v/>
      </c>
      <c r="T86" s="80" t="str">
        <f t="shared" si="2"/>
        <v/>
      </c>
      <c r="U86" s="81"/>
      <c r="V86" s="81"/>
      <c r="W86" s="81"/>
      <c r="X86" s="81"/>
      <c r="Y86" s="81"/>
      <c r="Z86" s="81"/>
      <c r="AA86" s="82" t="str">
        <f t="shared" si="3"/>
        <v/>
      </c>
      <c r="AB86" s="82" t="str">
        <f t="shared" si="4"/>
        <v/>
      </c>
      <c r="AC86" s="82" t="str">
        <f t="shared" si="5"/>
        <v/>
      </c>
      <c r="AD86" s="82" t="str">
        <f t="shared" si="6"/>
        <v/>
      </c>
      <c r="AE86" s="83">
        <f t="shared" si="7"/>
        <v>0</v>
      </c>
      <c r="AF86" s="83">
        <f t="shared" si="8"/>
        <v>0</v>
      </c>
      <c r="AG86" s="79"/>
      <c r="AH86" s="78"/>
      <c r="AI86" s="78"/>
    </row>
    <row r="87" ht="15.75" customHeight="1">
      <c r="A87" s="78"/>
      <c r="B87" s="79"/>
      <c r="C87" s="78"/>
      <c r="D87" s="78"/>
      <c r="E87" s="78"/>
      <c r="F87" s="78"/>
      <c r="G87" s="78"/>
      <c r="H87" s="78"/>
      <c r="I87" s="78"/>
      <c r="J87" s="78"/>
      <c r="K87" s="78"/>
      <c r="L87" s="79"/>
      <c r="M87" s="78"/>
      <c r="N87" s="78"/>
      <c r="O87" s="78"/>
      <c r="P87" s="78"/>
      <c r="Q87" s="78"/>
      <c r="R87" s="78"/>
      <c r="S87" s="80" t="str">
        <f t="shared" si="1"/>
        <v/>
      </c>
      <c r="T87" s="80" t="str">
        <f t="shared" si="2"/>
        <v/>
      </c>
      <c r="U87" s="81"/>
      <c r="V87" s="81"/>
      <c r="W87" s="81"/>
      <c r="X87" s="81"/>
      <c r="Y87" s="81"/>
      <c r="Z87" s="81"/>
      <c r="AA87" s="82" t="str">
        <f t="shared" si="3"/>
        <v/>
      </c>
      <c r="AB87" s="82" t="str">
        <f t="shared" si="4"/>
        <v/>
      </c>
      <c r="AC87" s="82" t="str">
        <f t="shared" si="5"/>
        <v/>
      </c>
      <c r="AD87" s="82" t="str">
        <f t="shared" si="6"/>
        <v/>
      </c>
      <c r="AE87" s="83">
        <f t="shared" si="7"/>
        <v>0</v>
      </c>
      <c r="AF87" s="83">
        <f t="shared" si="8"/>
        <v>0</v>
      </c>
      <c r="AG87" s="79"/>
      <c r="AH87" s="78"/>
      <c r="AI87" s="78"/>
    </row>
    <row r="88" ht="15.75" customHeight="1">
      <c r="A88" s="78"/>
      <c r="B88" s="79"/>
      <c r="C88" s="78"/>
      <c r="D88" s="78"/>
      <c r="E88" s="78"/>
      <c r="F88" s="78"/>
      <c r="G88" s="78"/>
      <c r="H88" s="78"/>
      <c r="I88" s="78"/>
      <c r="J88" s="78"/>
      <c r="K88" s="78"/>
      <c r="L88" s="79"/>
      <c r="M88" s="78"/>
      <c r="N88" s="78"/>
      <c r="O88" s="78"/>
      <c r="P88" s="78"/>
      <c r="Q88" s="78"/>
      <c r="R88" s="78"/>
      <c r="S88" s="80" t="str">
        <f t="shared" si="1"/>
        <v/>
      </c>
      <c r="T88" s="80" t="str">
        <f t="shared" si="2"/>
        <v/>
      </c>
      <c r="U88" s="81"/>
      <c r="V88" s="81"/>
      <c r="W88" s="81"/>
      <c r="X88" s="81"/>
      <c r="Y88" s="81"/>
      <c r="Z88" s="81"/>
      <c r="AA88" s="82" t="str">
        <f t="shared" si="3"/>
        <v/>
      </c>
      <c r="AB88" s="82" t="str">
        <f t="shared" si="4"/>
        <v/>
      </c>
      <c r="AC88" s="82" t="str">
        <f t="shared" si="5"/>
        <v/>
      </c>
      <c r="AD88" s="82" t="str">
        <f t="shared" si="6"/>
        <v/>
      </c>
      <c r="AE88" s="83">
        <f t="shared" si="7"/>
        <v>0</v>
      </c>
      <c r="AF88" s="83">
        <f t="shared" si="8"/>
        <v>0</v>
      </c>
      <c r="AG88" s="79"/>
      <c r="AH88" s="78"/>
      <c r="AI88" s="78"/>
    </row>
    <row r="89" ht="15.75" customHeight="1">
      <c r="A89" s="78"/>
      <c r="B89" s="79"/>
      <c r="C89" s="78"/>
      <c r="D89" s="78"/>
      <c r="E89" s="78"/>
      <c r="F89" s="78"/>
      <c r="G89" s="78"/>
      <c r="H89" s="78"/>
      <c r="I89" s="78"/>
      <c r="J89" s="78"/>
      <c r="K89" s="78"/>
      <c r="L89" s="79"/>
      <c r="M89" s="78"/>
      <c r="N89" s="78"/>
      <c r="O89" s="78"/>
      <c r="P89" s="78"/>
      <c r="Q89" s="78"/>
      <c r="R89" s="78"/>
      <c r="S89" s="80" t="str">
        <f t="shared" si="1"/>
        <v/>
      </c>
      <c r="T89" s="80" t="str">
        <f t="shared" si="2"/>
        <v/>
      </c>
      <c r="U89" s="81"/>
      <c r="V89" s="81"/>
      <c r="W89" s="81"/>
      <c r="X89" s="81"/>
      <c r="Y89" s="81"/>
      <c r="Z89" s="81"/>
      <c r="AA89" s="82" t="str">
        <f t="shared" si="3"/>
        <v/>
      </c>
      <c r="AB89" s="82" t="str">
        <f t="shared" si="4"/>
        <v/>
      </c>
      <c r="AC89" s="82" t="str">
        <f t="shared" si="5"/>
        <v/>
      </c>
      <c r="AD89" s="82" t="str">
        <f t="shared" si="6"/>
        <v/>
      </c>
      <c r="AE89" s="83">
        <f t="shared" si="7"/>
        <v>0</v>
      </c>
      <c r="AF89" s="83">
        <f t="shared" si="8"/>
        <v>0</v>
      </c>
      <c r="AG89" s="79"/>
      <c r="AH89" s="78"/>
      <c r="AI89" s="78"/>
    </row>
    <row r="90" ht="15.75" customHeight="1">
      <c r="A90" s="78"/>
      <c r="B90" s="79"/>
      <c r="C90" s="78"/>
      <c r="D90" s="78"/>
      <c r="E90" s="78"/>
      <c r="F90" s="78"/>
      <c r="G90" s="78"/>
      <c r="H90" s="78"/>
      <c r="I90" s="78"/>
      <c r="J90" s="78"/>
      <c r="K90" s="78"/>
      <c r="L90" s="79"/>
      <c r="M90" s="78"/>
      <c r="N90" s="78"/>
      <c r="O90" s="78"/>
      <c r="P90" s="78"/>
      <c r="Q90" s="78"/>
      <c r="R90" s="78"/>
      <c r="S90" s="80" t="str">
        <f t="shared" si="1"/>
        <v/>
      </c>
      <c r="T90" s="80" t="str">
        <f t="shared" si="2"/>
        <v/>
      </c>
      <c r="U90" s="81"/>
      <c r="V90" s="81"/>
      <c r="W90" s="81"/>
      <c r="X90" s="81"/>
      <c r="Y90" s="81"/>
      <c r="Z90" s="81"/>
      <c r="AA90" s="82" t="str">
        <f t="shared" si="3"/>
        <v/>
      </c>
      <c r="AB90" s="82" t="str">
        <f t="shared" si="4"/>
        <v/>
      </c>
      <c r="AC90" s="82" t="str">
        <f t="shared" si="5"/>
        <v/>
      </c>
      <c r="AD90" s="82" t="str">
        <f t="shared" si="6"/>
        <v/>
      </c>
      <c r="AE90" s="83">
        <f t="shared" si="7"/>
        <v>0</v>
      </c>
      <c r="AF90" s="83">
        <f t="shared" si="8"/>
        <v>0</v>
      </c>
      <c r="AG90" s="79"/>
      <c r="AH90" s="78"/>
      <c r="AI90" s="78"/>
    </row>
    <row r="91" ht="15.75" customHeight="1">
      <c r="A91" s="78"/>
      <c r="B91" s="79"/>
      <c r="C91" s="78"/>
      <c r="D91" s="78"/>
      <c r="E91" s="78"/>
      <c r="F91" s="78"/>
      <c r="G91" s="78"/>
      <c r="H91" s="78"/>
      <c r="I91" s="78"/>
      <c r="J91" s="78"/>
      <c r="K91" s="78"/>
      <c r="L91" s="79"/>
      <c r="M91" s="78"/>
      <c r="N91" s="78"/>
      <c r="O91" s="78"/>
      <c r="P91" s="78"/>
      <c r="Q91" s="78"/>
      <c r="R91" s="78"/>
      <c r="S91" s="80" t="str">
        <f t="shared" si="1"/>
        <v/>
      </c>
      <c r="T91" s="80" t="str">
        <f t="shared" si="2"/>
        <v/>
      </c>
      <c r="U91" s="81"/>
      <c r="V91" s="81"/>
      <c r="W91" s="81"/>
      <c r="X91" s="81"/>
      <c r="Y91" s="81"/>
      <c r="Z91" s="81"/>
      <c r="AA91" s="82" t="str">
        <f t="shared" si="3"/>
        <v/>
      </c>
      <c r="AB91" s="82" t="str">
        <f t="shared" si="4"/>
        <v/>
      </c>
      <c r="AC91" s="82" t="str">
        <f t="shared" si="5"/>
        <v/>
      </c>
      <c r="AD91" s="82" t="str">
        <f t="shared" si="6"/>
        <v/>
      </c>
      <c r="AE91" s="83">
        <f t="shared" si="7"/>
        <v>0</v>
      </c>
      <c r="AF91" s="83">
        <f t="shared" si="8"/>
        <v>0</v>
      </c>
      <c r="AG91" s="79"/>
      <c r="AH91" s="78"/>
      <c r="AI91" s="78"/>
    </row>
    <row r="92" ht="15.75" customHeight="1">
      <c r="A92" s="78"/>
      <c r="B92" s="79"/>
      <c r="C92" s="78"/>
      <c r="D92" s="78"/>
      <c r="E92" s="78"/>
      <c r="F92" s="78"/>
      <c r="G92" s="78"/>
      <c r="H92" s="78"/>
      <c r="I92" s="78"/>
      <c r="J92" s="78"/>
      <c r="K92" s="78"/>
      <c r="L92" s="79"/>
      <c r="M92" s="78"/>
      <c r="N92" s="78"/>
      <c r="O92" s="78"/>
      <c r="P92" s="78"/>
      <c r="Q92" s="78"/>
      <c r="R92" s="78"/>
      <c r="S92" s="80" t="str">
        <f t="shared" si="1"/>
        <v/>
      </c>
      <c r="T92" s="80" t="str">
        <f t="shared" si="2"/>
        <v/>
      </c>
      <c r="U92" s="81"/>
      <c r="V92" s="81"/>
      <c r="W92" s="81"/>
      <c r="X92" s="81"/>
      <c r="Y92" s="81"/>
      <c r="Z92" s="81"/>
      <c r="AA92" s="82" t="str">
        <f t="shared" si="3"/>
        <v/>
      </c>
      <c r="AB92" s="82" t="str">
        <f t="shared" si="4"/>
        <v/>
      </c>
      <c r="AC92" s="82" t="str">
        <f t="shared" si="5"/>
        <v/>
      </c>
      <c r="AD92" s="82" t="str">
        <f t="shared" si="6"/>
        <v/>
      </c>
      <c r="AE92" s="83">
        <f t="shared" si="7"/>
        <v>0</v>
      </c>
      <c r="AF92" s="83">
        <f t="shared" si="8"/>
        <v>0</v>
      </c>
      <c r="AG92" s="79"/>
      <c r="AH92" s="78"/>
      <c r="AI92" s="78"/>
    </row>
    <row r="93" ht="15.75" customHeight="1">
      <c r="A93" s="78"/>
      <c r="B93" s="79"/>
      <c r="C93" s="78"/>
      <c r="D93" s="78"/>
      <c r="E93" s="78"/>
      <c r="F93" s="78"/>
      <c r="G93" s="78"/>
      <c r="H93" s="78"/>
      <c r="I93" s="78"/>
      <c r="J93" s="78"/>
      <c r="K93" s="78"/>
      <c r="L93" s="79"/>
      <c r="M93" s="78"/>
      <c r="N93" s="78"/>
      <c r="O93" s="78"/>
      <c r="P93" s="78"/>
      <c r="Q93" s="78"/>
      <c r="R93" s="78"/>
      <c r="S93" s="80" t="str">
        <f t="shared" si="1"/>
        <v/>
      </c>
      <c r="T93" s="80" t="str">
        <f t="shared" si="2"/>
        <v/>
      </c>
      <c r="U93" s="81"/>
      <c r="V93" s="81"/>
      <c r="W93" s="81"/>
      <c r="X93" s="81"/>
      <c r="Y93" s="81"/>
      <c r="Z93" s="81"/>
      <c r="AA93" s="82" t="str">
        <f t="shared" si="3"/>
        <v/>
      </c>
      <c r="AB93" s="82" t="str">
        <f t="shared" si="4"/>
        <v/>
      </c>
      <c r="AC93" s="82" t="str">
        <f t="shared" si="5"/>
        <v/>
      </c>
      <c r="AD93" s="82" t="str">
        <f t="shared" si="6"/>
        <v/>
      </c>
      <c r="AE93" s="83">
        <f t="shared" si="7"/>
        <v>0</v>
      </c>
      <c r="AF93" s="83">
        <f t="shared" si="8"/>
        <v>0</v>
      </c>
      <c r="AG93" s="79"/>
      <c r="AH93" s="78"/>
      <c r="AI93" s="78"/>
    </row>
    <row r="94" ht="15.75" customHeight="1">
      <c r="A94" s="78"/>
      <c r="B94" s="79"/>
      <c r="C94" s="78"/>
      <c r="D94" s="78"/>
      <c r="E94" s="78"/>
      <c r="F94" s="78"/>
      <c r="G94" s="78"/>
      <c r="H94" s="78"/>
      <c r="I94" s="78"/>
      <c r="J94" s="78"/>
      <c r="K94" s="78"/>
      <c r="L94" s="79"/>
      <c r="M94" s="78"/>
      <c r="N94" s="78"/>
      <c r="O94" s="78"/>
      <c r="P94" s="78"/>
      <c r="Q94" s="78"/>
      <c r="R94" s="78"/>
      <c r="S94" s="80" t="str">
        <f t="shared" si="1"/>
        <v/>
      </c>
      <c r="T94" s="80" t="str">
        <f t="shared" si="2"/>
        <v/>
      </c>
      <c r="U94" s="81"/>
      <c r="V94" s="81"/>
      <c r="W94" s="81"/>
      <c r="X94" s="81"/>
      <c r="Y94" s="81"/>
      <c r="Z94" s="81"/>
      <c r="AA94" s="82" t="str">
        <f t="shared" si="3"/>
        <v/>
      </c>
      <c r="AB94" s="82" t="str">
        <f t="shared" si="4"/>
        <v/>
      </c>
      <c r="AC94" s="82" t="str">
        <f t="shared" si="5"/>
        <v/>
      </c>
      <c r="AD94" s="82" t="str">
        <f t="shared" si="6"/>
        <v/>
      </c>
      <c r="AE94" s="83">
        <f t="shared" si="7"/>
        <v>0</v>
      </c>
      <c r="AF94" s="83">
        <f t="shared" si="8"/>
        <v>0</v>
      </c>
      <c r="AG94" s="79"/>
      <c r="AH94" s="78"/>
      <c r="AI94" s="78"/>
    </row>
    <row r="95" ht="15.75" customHeight="1">
      <c r="A95" s="78"/>
      <c r="B95" s="79"/>
      <c r="C95" s="78"/>
      <c r="D95" s="78"/>
      <c r="E95" s="78"/>
      <c r="F95" s="78"/>
      <c r="G95" s="78"/>
      <c r="H95" s="78"/>
      <c r="I95" s="78"/>
      <c r="J95" s="78"/>
      <c r="K95" s="78"/>
      <c r="L95" s="79"/>
      <c r="M95" s="78"/>
      <c r="N95" s="78"/>
      <c r="O95" s="78"/>
      <c r="P95" s="78"/>
      <c r="Q95" s="78"/>
      <c r="R95" s="78"/>
      <c r="S95" s="80" t="str">
        <f t="shared" si="1"/>
        <v/>
      </c>
      <c r="T95" s="80" t="str">
        <f t="shared" si="2"/>
        <v/>
      </c>
      <c r="U95" s="81"/>
      <c r="V95" s="81"/>
      <c r="W95" s="81"/>
      <c r="X95" s="81"/>
      <c r="Y95" s="81"/>
      <c r="Z95" s="81"/>
      <c r="AA95" s="82" t="str">
        <f t="shared" si="3"/>
        <v/>
      </c>
      <c r="AB95" s="82" t="str">
        <f t="shared" si="4"/>
        <v/>
      </c>
      <c r="AC95" s="82" t="str">
        <f t="shared" si="5"/>
        <v/>
      </c>
      <c r="AD95" s="82" t="str">
        <f t="shared" si="6"/>
        <v/>
      </c>
      <c r="AE95" s="83">
        <f t="shared" si="7"/>
        <v>0</v>
      </c>
      <c r="AF95" s="83">
        <f t="shared" si="8"/>
        <v>0</v>
      </c>
      <c r="AG95" s="79"/>
      <c r="AH95" s="78"/>
      <c r="AI95" s="78"/>
    </row>
    <row r="96" ht="15.75" customHeight="1">
      <c r="A96" s="78"/>
      <c r="B96" s="79"/>
      <c r="C96" s="78"/>
      <c r="D96" s="78"/>
      <c r="E96" s="78"/>
      <c r="F96" s="78"/>
      <c r="G96" s="78"/>
      <c r="H96" s="78"/>
      <c r="I96" s="78"/>
      <c r="J96" s="78"/>
      <c r="K96" s="78"/>
      <c r="L96" s="79"/>
      <c r="M96" s="78"/>
      <c r="N96" s="78"/>
      <c r="O96" s="78"/>
      <c r="P96" s="78"/>
      <c r="Q96" s="78"/>
      <c r="R96" s="78"/>
      <c r="S96" s="80" t="str">
        <f t="shared" si="1"/>
        <v/>
      </c>
      <c r="T96" s="80" t="str">
        <f t="shared" si="2"/>
        <v/>
      </c>
      <c r="U96" s="81"/>
      <c r="V96" s="81"/>
      <c r="W96" s="81"/>
      <c r="X96" s="81"/>
      <c r="Y96" s="81"/>
      <c r="Z96" s="81"/>
      <c r="AA96" s="82" t="str">
        <f t="shared" si="3"/>
        <v/>
      </c>
      <c r="AB96" s="82" t="str">
        <f t="shared" si="4"/>
        <v/>
      </c>
      <c r="AC96" s="82" t="str">
        <f t="shared" si="5"/>
        <v/>
      </c>
      <c r="AD96" s="82" t="str">
        <f t="shared" si="6"/>
        <v/>
      </c>
      <c r="AE96" s="83">
        <f t="shared" si="7"/>
        <v>0</v>
      </c>
      <c r="AF96" s="83">
        <f t="shared" si="8"/>
        <v>0</v>
      </c>
      <c r="AG96" s="79"/>
      <c r="AH96" s="78"/>
      <c r="AI96" s="78"/>
    </row>
    <row r="97" ht="15.75" customHeight="1">
      <c r="A97" s="78"/>
      <c r="B97" s="79"/>
      <c r="C97" s="78"/>
      <c r="D97" s="78"/>
      <c r="E97" s="78"/>
      <c r="F97" s="78"/>
      <c r="G97" s="78"/>
      <c r="H97" s="78"/>
      <c r="I97" s="78"/>
      <c r="J97" s="78"/>
      <c r="K97" s="78"/>
      <c r="L97" s="79"/>
      <c r="M97" s="78"/>
      <c r="N97" s="78"/>
      <c r="O97" s="78"/>
      <c r="P97" s="78"/>
      <c r="Q97" s="78"/>
      <c r="R97" s="78"/>
      <c r="S97" s="80" t="str">
        <f t="shared" si="1"/>
        <v/>
      </c>
      <c r="T97" s="80" t="str">
        <f t="shared" si="2"/>
        <v/>
      </c>
      <c r="U97" s="81"/>
      <c r="V97" s="81"/>
      <c r="W97" s="81"/>
      <c r="X97" s="81"/>
      <c r="Y97" s="81"/>
      <c r="Z97" s="81"/>
      <c r="AA97" s="82" t="str">
        <f t="shared" si="3"/>
        <v/>
      </c>
      <c r="AB97" s="82" t="str">
        <f t="shared" si="4"/>
        <v/>
      </c>
      <c r="AC97" s="82" t="str">
        <f t="shared" si="5"/>
        <v/>
      </c>
      <c r="AD97" s="82" t="str">
        <f t="shared" si="6"/>
        <v/>
      </c>
      <c r="AE97" s="83">
        <f t="shared" si="7"/>
        <v>0</v>
      </c>
      <c r="AF97" s="83">
        <f t="shared" si="8"/>
        <v>0</v>
      </c>
      <c r="AG97" s="79"/>
      <c r="AH97" s="78"/>
      <c r="AI97" s="78"/>
    </row>
    <row r="98" ht="15.75" customHeight="1">
      <c r="A98" s="78"/>
      <c r="B98" s="79"/>
      <c r="C98" s="78"/>
      <c r="D98" s="78"/>
      <c r="E98" s="78"/>
      <c r="F98" s="78"/>
      <c r="G98" s="78"/>
      <c r="H98" s="78"/>
      <c r="I98" s="78"/>
      <c r="J98" s="78"/>
      <c r="K98" s="78"/>
      <c r="L98" s="79"/>
      <c r="M98" s="78"/>
      <c r="N98" s="78"/>
      <c r="O98" s="78"/>
      <c r="P98" s="78"/>
      <c r="Q98" s="78"/>
      <c r="R98" s="78"/>
      <c r="S98" s="80" t="str">
        <f t="shared" si="1"/>
        <v/>
      </c>
      <c r="T98" s="80" t="str">
        <f t="shared" si="2"/>
        <v/>
      </c>
      <c r="U98" s="81"/>
      <c r="V98" s="81"/>
      <c r="W98" s="81"/>
      <c r="X98" s="81"/>
      <c r="Y98" s="81"/>
      <c r="Z98" s="81"/>
      <c r="AA98" s="82" t="str">
        <f t="shared" si="3"/>
        <v/>
      </c>
      <c r="AB98" s="82" t="str">
        <f t="shared" si="4"/>
        <v/>
      </c>
      <c r="AC98" s="82" t="str">
        <f t="shared" si="5"/>
        <v/>
      </c>
      <c r="AD98" s="82" t="str">
        <f t="shared" si="6"/>
        <v/>
      </c>
      <c r="AE98" s="83">
        <f t="shared" si="7"/>
        <v>0</v>
      </c>
      <c r="AF98" s="83">
        <f t="shared" si="8"/>
        <v>0</v>
      </c>
      <c r="AG98" s="79"/>
      <c r="AH98" s="78"/>
      <c r="AI98" s="78"/>
    </row>
    <row r="99" ht="15.75" customHeight="1">
      <c r="A99" s="78"/>
      <c r="B99" s="79"/>
      <c r="C99" s="78"/>
      <c r="D99" s="78"/>
      <c r="E99" s="78"/>
      <c r="F99" s="78"/>
      <c r="G99" s="78"/>
      <c r="H99" s="78"/>
      <c r="I99" s="78"/>
      <c r="J99" s="78"/>
      <c r="K99" s="78"/>
      <c r="L99" s="79"/>
      <c r="M99" s="78"/>
      <c r="N99" s="78"/>
      <c r="O99" s="78"/>
      <c r="P99" s="78"/>
      <c r="Q99" s="78"/>
      <c r="R99" s="78"/>
      <c r="S99" s="80" t="str">
        <f t="shared" si="1"/>
        <v/>
      </c>
      <c r="T99" s="80" t="str">
        <f t="shared" si="2"/>
        <v/>
      </c>
      <c r="U99" s="81"/>
      <c r="V99" s="81"/>
      <c r="W99" s="81"/>
      <c r="X99" s="81"/>
      <c r="Y99" s="81"/>
      <c r="Z99" s="81"/>
      <c r="AA99" s="82" t="str">
        <f t="shared" si="3"/>
        <v/>
      </c>
      <c r="AB99" s="82" t="str">
        <f t="shared" si="4"/>
        <v/>
      </c>
      <c r="AC99" s="82" t="str">
        <f t="shared" si="5"/>
        <v/>
      </c>
      <c r="AD99" s="82" t="str">
        <f t="shared" si="6"/>
        <v/>
      </c>
      <c r="AE99" s="83">
        <f t="shared" si="7"/>
        <v>0</v>
      </c>
      <c r="AF99" s="83">
        <f t="shared" si="8"/>
        <v>0</v>
      </c>
      <c r="AG99" s="79"/>
      <c r="AH99" s="78"/>
      <c r="AI99" s="78"/>
    </row>
    <row r="100" ht="15.75" customHeight="1">
      <c r="A100" s="78"/>
      <c r="B100" s="79"/>
      <c r="C100" s="78"/>
      <c r="D100" s="78"/>
      <c r="E100" s="78"/>
      <c r="F100" s="78"/>
      <c r="G100" s="78"/>
      <c r="H100" s="78"/>
      <c r="I100" s="78"/>
      <c r="J100" s="78"/>
      <c r="K100" s="78"/>
      <c r="L100" s="79"/>
      <c r="M100" s="78"/>
      <c r="N100" s="78"/>
      <c r="O100" s="78"/>
      <c r="P100" s="78"/>
      <c r="Q100" s="78"/>
      <c r="R100" s="78"/>
      <c r="S100" s="80" t="str">
        <f t="shared" si="1"/>
        <v/>
      </c>
      <c r="T100" s="80" t="str">
        <f t="shared" si="2"/>
        <v/>
      </c>
      <c r="U100" s="81"/>
      <c r="V100" s="81"/>
      <c r="W100" s="81"/>
      <c r="X100" s="81"/>
      <c r="Y100" s="81"/>
      <c r="Z100" s="81"/>
      <c r="AA100" s="82" t="str">
        <f t="shared" si="3"/>
        <v/>
      </c>
      <c r="AB100" s="82" t="str">
        <f t="shared" si="4"/>
        <v/>
      </c>
      <c r="AC100" s="82" t="str">
        <f t="shared" si="5"/>
        <v/>
      </c>
      <c r="AD100" s="82" t="str">
        <f t="shared" si="6"/>
        <v/>
      </c>
      <c r="AE100" s="83">
        <f t="shared" si="7"/>
        <v>0</v>
      </c>
      <c r="AF100" s="83">
        <f t="shared" si="8"/>
        <v>0</v>
      </c>
      <c r="AG100" s="79"/>
      <c r="AH100" s="78"/>
      <c r="AI100" s="78"/>
    </row>
    <row r="101" ht="15.75" customHeight="1">
      <c r="A101" s="78"/>
      <c r="B101" s="79"/>
      <c r="C101" s="78"/>
      <c r="D101" s="78"/>
      <c r="E101" s="78"/>
      <c r="F101" s="78"/>
      <c r="G101" s="78"/>
      <c r="H101" s="78"/>
      <c r="I101" s="78"/>
      <c r="J101" s="78"/>
      <c r="K101" s="78"/>
      <c r="L101" s="79"/>
      <c r="M101" s="78"/>
      <c r="N101" s="78"/>
      <c r="O101" s="78"/>
      <c r="P101" s="78"/>
      <c r="Q101" s="78"/>
      <c r="R101" s="78"/>
      <c r="S101" s="80" t="str">
        <f t="shared" si="1"/>
        <v/>
      </c>
      <c r="T101" s="80" t="str">
        <f t="shared" si="2"/>
        <v/>
      </c>
      <c r="U101" s="81"/>
      <c r="V101" s="81"/>
      <c r="W101" s="81"/>
      <c r="X101" s="81"/>
      <c r="Y101" s="81"/>
      <c r="Z101" s="81"/>
      <c r="AA101" s="82" t="str">
        <f t="shared" si="3"/>
        <v/>
      </c>
      <c r="AB101" s="82" t="str">
        <f t="shared" si="4"/>
        <v/>
      </c>
      <c r="AC101" s="82" t="str">
        <f t="shared" si="5"/>
        <v/>
      </c>
      <c r="AD101" s="82" t="str">
        <f t="shared" si="6"/>
        <v/>
      </c>
      <c r="AE101" s="83">
        <f t="shared" si="7"/>
        <v>0</v>
      </c>
      <c r="AF101" s="83">
        <f t="shared" si="8"/>
        <v>0</v>
      </c>
      <c r="AG101" s="79"/>
      <c r="AH101" s="78"/>
      <c r="AI101" s="78"/>
    </row>
    <row r="102" ht="15.75" customHeight="1">
      <c r="A102" s="78"/>
      <c r="B102" s="79"/>
      <c r="C102" s="78"/>
      <c r="D102" s="78"/>
      <c r="E102" s="78"/>
      <c r="F102" s="78"/>
      <c r="G102" s="78"/>
      <c r="H102" s="78"/>
      <c r="I102" s="78"/>
      <c r="J102" s="78"/>
      <c r="K102" s="78"/>
      <c r="L102" s="79"/>
      <c r="M102" s="78"/>
      <c r="N102" s="78"/>
      <c r="O102" s="78"/>
      <c r="P102" s="78"/>
      <c r="Q102" s="78"/>
      <c r="R102" s="78"/>
      <c r="S102" s="80" t="str">
        <f t="shared" si="1"/>
        <v/>
      </c>
      <c r="T102" s="80" t="str">
        <f t="shared" si="2"/>
        <v/>
      </c>
      <c r="U102" s="81"/>
      <c r="V102" s="81"/>
      <c r="W102" s="81"/>
      <c r="X102" s="81"/>
      <c r="Y102" s="81"/>
      <c r="Z102" s="81"/>
      <c r="AA102" s="82" t="str">
        <f t="shared" si="3"/>
        <v/>
      </c>
      <c r="AB102" s="82" t="str">
        <f t="shared" si="4"/>
        <v/>
      </c>
      <c r="AC102" s="82" t="str">
        <f t="shared" si="5"/>
        <v/>
      </c>
      <c r="AD102" s="82" t="str">
        <f t="shared" si="6"/>
        <v/>
      </c>
      <c r="AE102" s="83">
        <f t="shared" si="7"/>
        <v>0</v>
      </c>
      <c r="AF102" s="83">
        <f t="shared" si="8"/>
        <v>0</v>
      </c>
      <c r="AG102" s="79"/>
      <c r="AH102" s="78"/>
      <c r="AI102" s="78"/>
    </row>
    <row r="103" ht="15.75" customHeight="1">
      <c r="A103" s="78"/>
      <c r="B103" s="79"/>
      <c r="C103" s="78"/>
      <c r="D103" s="78"/>
      <c r="E103" s="78"/>
      <c r="F103" s="78"/>
      <c r="G103" s="78"/>
      <c r="H103" s="78"/>
      <c r="I103" s="78"/>
      <c r="J103" s="78"/>
      <c r="K103" s="78"/>
      <c r="L103" s="79"/>
      <c r="M103" s="78"/>
      <c r="N103" s="78"/>
      <c r="O103" s="78"/>
      <c r="P103" s="78"/>
      <c r="Q103" s="78"/>
      <c r="R103" s="78"/>
      <c r="S103" s="80" t="str">
        <f t="shared" si="1"/>
        <v/>
      </c>
      <c r="T103" s="80" t="str">
        <f t="shared" si="2"/>
        <v/>
      </c>
      <c r="U103" s="81"/>
      <c r="V103" s="81"/>
      <c r="W103" s="81"/>
      <c r="X103" s="81"/>
      <c r="Y103" s="81"/>
      <c r="Z103" s="81"/>
      <c r="AA103" s="82" t="str">
        <f t="shared" si="3"/>
        <v/>
      </c>
      <c r="AB103" s="82" t="str">
        <f t="shared" si="4"/>
        <v/>
      </c>
      <c r="AC103" s="82" t="str">
        <f t="shared" si="5"/>
        <v/>
      </c>
      <c r="AD103" s="82" t="str">
        <f t="shared" si="6"/>
        <v/>
      </c>
      <c r="AE103" s="83">
        <f t="shared" si="7"/>
        <v>0</v>
      </c>
      <c r="AF103" s="83">
        <f t="shared" si="8"/>
        <v>0</v>
      </c>
      <c r="AG103" s="79"/>
      <c r="AH103" s="78"/>
      <c r="AI103" s="78"/>
    </row>
    <row r="104" ht="15.75" customHeight="1">
      <c r="A104" s="78"/>
      <c r="B104" s="79"/>
      <c r="C104" s="78"/>
      <c r="D104" s="78"/>
      <c r="E104" s="78"/>
      <c r="F104" s="78"/>
      <c r="G104" s="78"/>
      <c r="H104" s="78"/>
      <c r="I104" s="78"/>
      <c r="J104" s="78"/>
      <c r="K104" s="78"/>
      <c r="L104" s="79"/>
      <c r="M104" s="78"/>
      <c r="N104" s="78"/>
      <c r="O104" s="78"/>
      <c r="P104" s="78"/>
      <c r="Q104" s="78"/>
      <c r="R104" s="78"/>
      <c r="S104" s="80" t="str">
        <f t="shared" si="1"/>
        <v/>
      </c>
      <c r="T104" s="80" t="str">
        <f t="shared" si="2"/>
        <v/>
      </c>
      <c r="U104" s="81"/>
      <c r="V104" s="81"/>
      <c r="W104" s="81"/>
      <c r="X104" s="81"/>
      <c r="Y104" s="81"/>
      <c r="Z104" s="81"/>
      <c r="AA104" s="82" t="str">
        <f t="shared" si="3"/>
        <v/>
      </c>
      <c r="AB104" s="82" t="str">
        <f t="shared" si="4"/>
        <v/>
      </c>
      <c r="AC104" s="82" t="str">
        <f t="shared" si="5"/>
        <v/>
      </c>
      <c r="AD104" s="82" t="str">
        <f t="shared" si="6"/>
        <v/>
      </c>
      <c r="AE104" s="83">
        <f t="shared" si="7"/>
        <v>0</v>
      </c>
      <c r="AF104" s="83">
        <f t="shared" si="8"/>
        <v>0</v>
      </c>
      <c r="AG104" s="79"/>
      <c r="AH104" s="78"/>
      <c r="AI104" s="78"/>
    </row>
    <row r="105" ht="15.75" customHeight="1">
      <c r="A105" s="78"/>
      <c r="B105" s="79"/>
      <c r="C105" s="78"/>
      <c r="D105" s="78"/>
      <c r="E105" s="78"/>
      <c r="F105" s="78"/>
      <c r="G105" s="78"/>
      <c r="H105" s="78"/>
      <c r="I105" s="78"/>
      <c r="J105" s="78"/>
      <c r="K105" s="78"/>
      <c r="L105" s="79"/>
      <c r="M105" s="78"/>
      <c r="N105" s="78"/>
      <c r="O105" s="78"/>
      <c r="P105" s="78"/>
      <c r="Q105" s="78"/>
      <c r="R105" s="78"/>
      <c r="S105" s="80" t="str">
        <f t="shared" si="1"/>
        <v/>
      </c>
      <c r="T105" s="80" t="str">
        <f t="shared" si="2"/>
        <v/>
      </c>
      <c r="U105" s="81"/>
      <c r="V105" s="81"/>
      <c r="W105" s="81"/>
      <c r="X105" s="81"/>
      <c r="Y105" s="81"/>
      <c r="Z105" s="81"/>
      <c r="AA105" s="82" t="str">
        <f t="shared" si="3"/>
        <v/>
      </c>
      <c r="AB105" s="82" t="str">
        <f t="shared" si="4"/>
        <v/>
      </c>
      <c r="AC105" s="82" t="str">
        <f t="shared" si="5"/>
        <v/>
      </c>
      <c r="AD105" s="82" t="str">
        <f t="shared" si="6"/>
        <v/>
      </c>
      <c r="AE105" s="83">
        <f t="shared" si="7"/>
        <v>0</v>
      </c>
      <c r="AF105" s="83">
        <f t="shared" si="8"/>
        <v>0</v>
      </c>
      <c r="AG105" s="79"/>
      <c r="AH105" s="78"/>
      <c r="AI105" s="78"/>
    </row>
    <row r="106" ht="15.75" customHeight="1">
      <c r="A106" s="78"/>
      <c r="B106" s="79"/>
      <c r="C106" s="78"/>
      <c r="D106" s="78"/>
      <c r="E106" s="78"/>
      <c r="F106" s="78"/>
      <c r="G106" s="78"/>
      <c r="H106" s="78"/>
      <c r="I106" s="78"/>
      <c r="J106" s="78"/>
      <c r="K106" s="78"/>
      <c r="L106" s="79"/>
      <c r="M106" s="78"/>
      <c r="N106" s="78"/>
      <c r="O106" s="78"/>
      <c r="P106" s="78"/>
      <c r="Q106" s="78"/>
      <c r="R106" s="78"/>
      <c r="S106" s="80" t="str">
        <f t="shared" si="1"/>
        <v/>
      </c>
      <c r="T106" s="80" t="str">
        <f t="shared" si="2"/>
        <v/>
      </c>
      <c r="U106" s="81"/>
      <c r="V106" s="81"/>
      <c r="W106" s="81"/>
      <c r="X106" s="81"/>
      <c r="Y106" s="81"/>
      <c r="Z106" s="81"/>
      <c r="AA106" s="82" t="str">
        <f t="shared" si="3"/>
        <v/>
      </c>
      <c r="AB106" s="82" t="str">
        <f t="shared" si="4"/>
        <v/>
      </c>
      <c r="AC106" s="82" t="str">
        <f t="shared" si="5"/>
        <v/>
      </c>
      <c r="AD106" s="82" t="str">
        <f t="shared" si="6"/>
        <v/>
      </c>
      <c r="AE106" s="83">
        <f t="shared" si="7"/>
        <v>0</v>
      </c>
      <c r="AF106" s="83">
        <f t="shared" si="8"/>
        <v>0</v>
      </c>
      <c r="AG106" s="79"/>
      <c r="AH106" s="78"/>
      <c r="AI106" s="78"/>
    </row>
    <row r="107" ht="15.75" customHeight="1">
      <c r="A107" s="78"/>
      <c r="B107" s="79"/>
      <c r="C107" s="78"/>
      <c r="D107" s="78"/>
      <c r="E107" s="78"/>
      <c r="F107" s="78"/>
      <c r="G107" s="78"/>
      <c r="H107" s="78"/>
      <c r="I107" s="78"/>
      <c r="J107" s="78"/>
      <c r="K107" s="78"/>
      <c r="L107" s="79"/>
      <c r="M107" s="78"/>
      <c r="N107" s="78"/>
      <c r="O107" s="78"/>
      <c r="P107" s="78"/>
      <c r="Q107" s="78"/>
      <c r="R107" s="78"/>
      <c r="S107" s="80" t="str">
        <f t="shared" si="1"/>
        <v/>
      </c>
      <c r="T107" s="80" t="str">
        <f t="shared" si="2"/>
        <v/>
      </c>
      <c r="U107" s="81"/>
      <c r="V107" s="81"/>
      <c r="W107" s="81"/>
      <c r="X107" s="81"/>
      <c r="Y107" s="81"/>
      <c r="Z107" s="81"/>
      <c r="AA107" s="82" t="str">
        <f t="shared" si="3"/>
        <v/>
      </c>
      <c r="AB107" s="82" t="str">
        <f t="shared" si="4"/>
        <v/>
      </c>
      <c r="AC107" s="82" t="str">
        <f t="shared" si="5"/>
        <v/>
      </c>
      <c r="AD107" s="82" t="str">
        <f t="shared" si="6"/>
        <v/>
      </c>
      <c r="AE107" s="83">
        <f t="shared" si="7"/>
        <v>0</v>
      </c>
      <c r="AF107" s="83">
        <f t="shared" si="8"/>
        <v>0</v>
      </c>
      <c r="AG107" s="79"/>
      <c r="AH107" s="78"/>
      <c r="AI107" s="78"/>
    </row>
    <row r="108" ht="15.75" customHeight="1">
      <c r="A108" s="78"/>
      <c r="B108" s="79"/>
      <c r="C108" s="78"/>
      <c r="D108" s="78"/>
      <c r="E108" s="78"/>
      <c r="F108" s="78"/>
      <c r="G108" s="78"/>
      <c r="H108" s="78"/>
      <c r="I108" s="78"/>
      <c r="J108" s="78"/>
      <c r="K108" s="78"/>
      <c r="L108" s="79"/>
      <c r="M108" s="78"/>
      <c r="N108" s="78"/>
      <c r="O108" s="78"/>
      <c r="P108" s="78"/>
      <c r="Q108" s="78"/>
      <c r="R108" s="78"/>
      <c r="S108" s="80" t="str">
        <f t="shared" si="1"/>
        <v/>
      </c>
      <c r="T108" s="80" t="str">
        <f t="shared" si="2"/>
        <v/>
      </c>
      <c r="U108" s="81"/>
      <c r="V108" s="81"/>
      <c r="W108" s="81"/>
      <c r="X108" s="81"/>
      <c r="Y108" s="81"/>
      <c r="Z108" s="81"/>
      <c r="AA108" s="82" t="str">
        <f t="shared" si="3"/>
        <v/>
      </c>
      <c r="AB108" s="82" t="str">
        <f t="shared" si="4"/>
        <v/>
      </c>
      <c r="AC108" s="82" t="str">
        <f t="shared" si="5"/>
        <v/>
      </c>
      <c r="AD108" s="82" t="str">
        <f t="shared" si="6"/>
        <v/>
      </c>
      <c r="AE108" s="83">
        <f t="shared" si="7"/>
        <v>0</v>
      </c>
      <c r="AF108" s="83">
        <f t="shared" si="8"/>
        <v>0</v>
      </c>
      <c r="AG108" s="79"/>
      <c r="AH108" s="78"/>
      <c r="AI108" s="78"/>
    </row>
    <row r="109" ht="15.75" customHeight="1">
      <c r="A109" s="78"/>
      <c r="B109" s="79"/>
      <c r="C109" s="78"/>
      <c r="D109" s="78"/>
      <c r="E109" s="78"/>
      <c r="F109" s="78"/>
      <c r="G109" s="78"/>
      <c r="H109" s="78"/>
      <c r="I109" s="78"/>
      <c r="J109" s="78"/>
      <c r="K109" s="78"/>
      <c r="L109" s="79"/>
      <c r="M109" s="78"/>
      <c r="N109" s="78"/>
      <c r="O109" s="78"/>
      <c r="P109" s="78"/>
      <c r="Q109" s="78"/>
      <c r="R109" s="78"/>
      <c r="S109" s="80" t="str">
        <f t="shared" si="1"/>
        <v/>
      </c>
      <c r="T109" s="80" t="str">
        <f t="shared" si="2"/>
        <v/>
      </c>
      <c r="U109" s="81"/>
      <c r="V109" s="81"/>
      <c r="W109" s="81"/>
      <c r="X109" s="81"/>
      <c r="Y109" s="81"/>
      <c r="Z109" s="81"/>
      <c r="AA109" s="82" t="str">
        <f t="shared" si="3"/>
        <v/>
      </c>
      <c r="AB109" s="82" t="str">
        <f t="shared" si="4"/>
        <v/>
      </c>
      <c r="AC109" s="82" t="str">
        <f t="shared" si="5"/>
        <v/>
      </c>
      <c r="AD109" s="82" t="str">
        <f t="shared" si="6"/>
        <v/>
      </c>
      <c r="AE109" s="83">
        <f t="shared" si="7"/>
        <v>0</v>
      </c>
      <c r="AF109" s="83">
        <f t="shared" si="8"/>
        <v>0</v>
      </c>
      <c r="AG109" s="79"/>
      <c r="AH109" s="78"/>
      <c r="AI109" s="78"/>
    </row>
    <row r="110" ht="15.75" customHeight="1">
      <c r="A110" s="78"/>
      <c r="B110" s="79"/>
      <c r="C110" s="78"/>
      <c r="D110" s="78"/>
      <c r="E110" s="78"/>
      <c r="F110" s="78"/>
      <c r="G110" s="78"/>
      <c r="H110" s="78"/>
      <c r="I110" s="78"/>
      <c r="J110" s="78"/>
      <c r="K110" s="78"/>
      <c r="L110" s="79"/>
      <c r="M110" s="78"/>
      <c r="N110" s="78"/>
      <c r="O110" s="78"/>
      <c r="P110" s="78"/>
      <c r="Q110" s="78"/>
      <c r="R110" s="78"/>
      <c r="S110" s="80" t="str">
        <f t="shared" si="1"/>
        <v/>
      </c>
      <c r="T110" s="80" t="str">
        <f t="shared" si="2"/>
        <v/>
      </c>
      <c r="U110" s="81"/>
      <c r="V110" s="81"/>
      <c r="W110" s="81"/>
      <c r="X110" s="81"/>
      <c r="Y110" s="81"/>
      <c r="Z110" s="81"/>
      <c r="AA110" s="82" t="str">
        <f t="shared" si="3"/>
        <v/>
      </c>
      <c r="AB110" s="82" t="str">
        <f t="shared" si="4"/>
        <v/>
      </c>
      <c r="AC110" s="82" t="str">
        <f t="shared" si="5"/>
        <v/>
      </c>
      <c r="AD110" s="82" t="str">
        <f t="shared" si="6"/>
        <v/>
      </c>
      <c r="AE110" s="83">
        <f t="shared" si="7"/>
        <v>0</v>
      </c>
      <c r="AF110" s="83">
        <f t="shared" si="8"/>
        <v>0</v>
      </c>
      <c r="AG110" s="79"/>
      <c r="AH110" s="78"/>
      <c r="AI110" s="78"/>
    </row>
    <row r="111" ht="15.75" customHeight="1">
      <c r="A111" s="78"/>
      <c r="B111" s="79"/>
      <c r="C111" s="78"/>
      <c r="D111" s="78"/>
      <c r="E111" s="78"/>
      <c r="F111" s="78"/>
      <c r="G111" s="78"/>
      <c r="H111" s="78"/>
      <c r="I111" s="78"/>
      <c r="J111" s="78"/>
      <c r="K111" s="78"/>
      <c r="L111" s="79"/>
      <c r="M111" s="78"/>
      <c r="N111" s="78"/>
      <c r="O111" s="78"/>
      <c r="P111" s="78"/>
      <c r="Q111" s="78"/>
      <c r="R111" s="78"/>
      <c r="S111" s="80" t="str">
        <f t="shared" si="1"/>
        <v/>
      </c>
      <c r="T111" s="80" t="str">
        <f t="shared" si="2"/>
        <v/>
      </c>
      <c r="U111" s="81"/>
      <c r="V111" s="81"/>
      <c r="W111" s="81"/>
      <c r="X111" s="81"/>
      <c r="Y111" s="81"/>
      <c r="Z111" s="81"/>
      <c r="AA111" s="82" t="str">
        <f t="shared" si="3"/>
        <v/>
      </c>
      <c r="AB111" s="82" t="str">
        <f t="shared" si="4"/>
        <v/>
      </c>
      <c r="AC111" s="82" t="str">
        <f t="shared" si="5"/>
        <v/>
      </c>
      <c r="AD111" s="82" t="str">
        <f t="shared" si="6"/>
        <v/>
      </c>
      <c r="AE111" s="83">
        <f t="shared" si="7"/>
        <v>0</v>
      </c>
      <c r="AF111" s="83">
        <f t="shared" si="8"/>
        <v>0</v>
      </c>
      <c r="AG111" s="79"/>
      <c r="AH111" s="78"/>
      <c r="AI111" s="78"/>
    </row>
    <row r="112" ht="15.75" customHeight="1">
      <c r="A112" s="78"/>
      <c r="B112" s="79"/>
      <c r="C112" s="78"/>
      <c r="D112" s="78"/>
      <c r="E112" s="78"/>
      <c r="F112" s="78"/>
      <c r="G112" s="78"/>
      <c r="H112" s="78"/>
      <c r="I112" s="78"/>
      <c r="J112" s="78"/>
      <c r="K112" s="78"/>
      <c r="L112" s="79"/>
      <c r="M112" s="78"/>
      <c r="N112" s="78"/>
      <c r="O112" s="78"/>
      <c r="P112" s="78"/>
      <c r="Q112" s="78"/>
      <c r="R112" s="78"/>
      <c r="S112" s="80" t="str">
        <f t="shared" si="1"/>
        <v/>
      </c>
      <c r="T112" s="80" t="str">
        <f t="shared" si="2"/>
        <v/>
      </c>
      <c r="U112" s="81"/>
      <c r="V112" s="81"/>
      <c r="W112" s="81"/>
      <c r="X112" s="81"/>
      <c r="Y112" s="81"/>
      <c r="Z112" s="81"/>
      <c r="AA112" s="82" t="str">
        <f t="shared" si="3"/>
        <v/>
      </c>
      <c r="AB112" s="82" t="str">
        <f t="shared" si="4"/>
        <v/>
      </c>
      <c r="AC112" s="82" t="str">
        <f t="shared" si="5"/>
        <v/>
      </c>
      <c r="AD112" s="82" t="str">
        <f t="shared" si="6"/>
        <v/>
      </c>
      <c r="AE112" s="83">
        <f t="shared" si="7"/>
        <v>0</v>
      </c>
      <c r="AF112" s="83">
        <f t="shared" si="8"/>
        <v>0</v>
      </c>
      <c r="AG112" s="79"/>
      <c r="AH112" s="78"/>
      <c r="AI112" s="78"/>
    </row>
    <row r="113" ht="15.75" customHeight="1">
      <c r="A113" s="78"/>
      <c r="B113" s="79"/>
      <c r="C113" s="78"/>
      <c r="D113" s="78"/>
      <c r="E113" s="78"/>
      <c r="F113" s="78"/>
      <c r="G113" s="78"/>
      <c r="H113" s="78"/>
      <c r="I113" s="78"/>
      <c r="J113" s="78"/>
      <c r="K113" s="78"/>
      <c r="L113" s="79"/>
      <c r="M113" s="78"/>
      <c r="N113" s="78"/>
      <c r="O113" s="78"/>
      <c r="P113" s="78"/>
      <c r="Q113" s="78"/>
      <c r="R113" s="78"/>
      <c r="S113" s="80" t="str">
        <f t="shared" si="1"/>
        <v/>
      </c>
      <c r="T113" s="80" t="str">
        <f t="shared" si="2"/>
        <v/>
      </c>
      <c r="U113" s="81"/>
      <c r="V113" s="81"/>
      <c r="W113" s="81"/>
      <c r="X113" s="81"/>
      <c r="Y113" s="81"/>
      <c r="Z113" s="81"/>
      <c r="AA113" s="82" t="str">
        <f t="shared" si="3"/>
        <v/>
      </c>
      <c r="AB113" s="82" t="str">
        <f t="shared" si="4"/>
        <v/>
      </c>
      <c r="AC113" s="82" t="str">
        <f t="shared" si="5"/>
        <v/>
      </c>
      <c r="AD113" s="82" t="str">
        <f t="shared" si="6"/>
        <v/>
      </c>
      <c r="AE113" s="83">
        <f t="shared" si="7"/>
        <v>0</v>
      </c>
      <c r="AF113" s="83">
        <f t="shared" si="8"/>
        <v>0</v>
      </c>
      <c r="AG113" s="79"/>
      <c r="AH113" s="78"/>
      <c r="AI113" s="78"/>
    </row>
    <row r="114" ht="15.75" customHeight="1">
      <c r="A114" s="78"/>
      <c r="B114" s="79"/>
      <c r="C114" s="78"/>
      <c r="D114" s="78"/>
      <c r="E114" s="78"/>
      <c r="F114" s="78"/>
      <c r="G114" s="78"/>
      <c r="H114" s="78"/>
      <c r="I114" s="78"/>
      <c r="J114" s="78"/>
      <c r="K114" s="78"/>
      <c r="L114" s="79"/>
      <c r="M114" s="78"/>
      <c r="N114" s="78"/>
      <c r="O114" s="78"/>
      <c r="P114" s="78"/>
      <c r="Q114" s="78"/>
      <c r="R114" s="78"/>
      <c r="S114" s="80" t="str">
        <f t="shared" si="1"/>
        <v/>
      </c>
      <c r="T114" s="80" t="str">
        <f t="shared" si="2"/>
        <v/>
      </c>
      <c r="U114" s="81"/>
      <c r="V114" s="81"/>
      <c r="W114" s="81"/>
      <c r="X114" s="81"/>
      <c r="Y114" s="81"/>
      <c r="Z114" s="81"/>
      <c r="AA114" s="82" t="str">
        <f t="shared" si="3"/>
        <v/>
      </c>
      <c r="AB114" s="82" t="str">
        <f t="shared" si="4"/>
        <v/>
      </c>
      <c r="AC114" s="82" t="str">
        <f t="shared" si="5"/>
        <v/>
      </c>
      <c r="AD114" s="82" t="str">
        <f t="shared" si="6"/>
        <v/>
      </c>
      <c r="AE114" s="83">
        <f t="shared" si="7"/>
        <v>0</v>
      </c>
      <c r="AF114" s="83">
        <f t="shared" si="8"/>
        <v>0</v>
      </c>
      <c r="AG114" s="79"/>
      <c r="AH114" s="78"/>
      <c r="AI114" s="78"/>
    </row>
    <row r="115" ht="15.75" customHeight="1">
      <c r="A115" s="78"/>
      <c r="B115" s="79"/>
      <c r="C115" s="78"/>
      <c r="D115" s="78"/>
      <c r="E115" s="78"/>
      <c r="F115" s="78"/>
      <c r="G115" s="78"/>
      <c r="H115" s="78"/>
      <c r="I115" s="78"/>
      <c r="J115" s="78"/>
      <c r="K115" s="78"/>
      <c r="L115" s="79"/>
      <c r="M115" s="78"/>
      <c r="N115" s="78"/>
      <c r="O115" s="78"/>
      <c r="P115" s="78"/>
      <c r="Q115" s="78"/>
      <c r="R115" s="78"/>
      <c r="S115" s="80" t="str">
        <f t="shared" si="1"/>
        <v/>
      </c>
      <c r="T115" s="80" t="str">
        <f t="shared" si="2"/>
        <v/>
      </c>
      <c r="U115" s="81"/>
      <c r="V115" s="81"/>
      <c r="W115" s="81"/>
      <c r="X115" s="81"/>
      <c r="Y115" s="81"/>
      <c r="Z115" s="81"/>
      <c r="AA115" s="82" t="str">
        <f t="shared" si="3"/>
        <v/>
      </c>
      <c r="AB115" s="82" t="str">
        <f t="shared" si="4"/>
        <v/>
      </c>
      <c r="AC115" s="82" t="str">
        <f t="shared" si="5"/>
        <v/>
      </c>
      <c r="AD115" s="82" t="str">
        <f t="shared" si="6"/>
        <v/>
      </c>
      <c r="AE115" s="83">
        <f t="shared" si="7"/>
        <v>0</v>
      </c>
      <c r="AF115" s="83">
        <f t="shared" si="8"/>
        <v>0</v>
      </c>
      <c r="AG115" s="79"/>
      <c r="AH115" s="78"/>
      <c r="AI115" s="78"/>
    </row>
    <row r="116" ht="15.75" customHeight="1">
      <c r="A116" s="78"/>
      <c r="B116" s="79"/>
      <c r="C116" s="78"/>
      <c r="D116" s="78"/>
      <c r="E116" s="78"/>
      <c r="F116" s="78"/>
      <c r="G116" s="78"/>
      <c r="H116" s="78"/>
      <c r="I116" s="78"/>
      <c r="J116" s="78"/>
      <c r="K116" s="78"/>
      <c r="L116" s="79"/>
      <c r="M116" s="78"/>
      <c r="N116" s="78"/>
      <c r="O116" s="78"/>
      <c r="P116" s="78"/>
      <c r="Q116" s="78"/>
      <c r="R116" s="78"/>
      <c r="S116" s="80" t="str">
        <f t="shared" si="1"/>
        <v/>
      </c>
      <c r="T116" s="80" t="str">
        <f t="shared" si="2"/>
        <v/>
      </c>
      <c r="U116" s="81"/>
      <c r="V116" s="81"/>
      <c r="W116" s="81"/>
      <c r="X116" s="81"/>
      <c r="Y116" s="81"/>
      <c r="Z116" s="81"/>
      <c r="AA116" s="82" t="str">
        <f t="shared" si="3"/>
        <v/>
      </c>
      <c r="AB116" s="82" t="str">
        <f t="shared" si="4"/>
        <v/>
      </c>
      <c r="AC116" s="82" t="str">
        <f t="shared" si="5"/>
        <v/>
      </c>
      <c r="AD116" s="82" t="str">
        <f t="shared" si="6"/>
        <v/>
      </c>
      <c r="AE116" s="83">
        <f t="shared" si="7"/>
        <v>0</v>
      </c>
      <c r="AF116" s="83">
        <f t="shared" si="8"/>
        <v>0</v>
      </c>
      <c r="AG116" s="79"/>
      <c r="AH116" s="78"/>
      <c r="AI116" s="78"/>
    </row>
    <row r="117" ht="15.75" customHeight="1">
      <c r="A117" s="78"/>
      <c r="B117" s="79"/>
      <c r="C117" s="78"/>
      <c r="D117" s="78"/>
      <c r="E117" s="78"/>
      <c r="F117" s="78"/>
      <c r="G117" s="78"/>
      <c r="H117" s="78"/>
      <c r="I117" s="78"/>
      <c r="J117" s="78"/>
      <c r="K117" s="78"/>
      <c r="L117" s="79"/>
      <c r="M117" s="78"/>
      <c r="N117" s="78"/>
      <c r="O117" s="78"/>
      <c r="P117" s="78"/>
      <c r="Q117" s="78"/>
      <c r="R117" s="78"/>
      <c r="S117" s="80" t="str">
        <f t="shared" si="1"/>
        <v/>
      </c>
      <c r="T117" s="80" t="str">
        <f t="shared" si="2"/>
        <v/>
      </c>
      <c r="U117" s="81"/>
      <c r="V117" s="81"/>
      <c r="W117" s="81"/>
      <c r="X117" s="81"/>
      <c r="Y117" s="81"/>
      <c r="Z117" s="81"/>
      <c r="AA117" s="82" t="str">
        <f t="shared" si="3"/>
        <v/>
      </c>
      <c r="AB117" s="82" t="str">
        <f t="shared" si="4"/>
        <v/>
      </c>
      <c r="AC117" s="82" t="str">
        <f t="shared" si="5"/>
        <v/>
      </c>
      <c r="AD117" s="82" t="str">
        <f t="shared" si="6"/>
        <v/>
      </c>
      <c r="AE117" s="83">
        <f t="shared" si="7"/>
        <v>0</v>
      </c>
      <c r="AF117" s="83">
        <f t="shared" si="8"/>
        <v>0</v>
      </c>
      <c r="AG117" s="79"/>
      <c r="AH117" s="78"/>
      <c r="AI117" s="78"/>
    </row>
    <row r="118" ht="15.75" customHeight="1">
      <c r="A118" s="78"/>
      <c r="B118" s="79"/>
      <c r="C118" s="78"/>
      <c r="D118" s="78"/>
      <c r="E118" s="78"/>
      <c r="F118" s="78"/>
      <c r="G118" s="78"/>
      <c r="H118" s="78"/>
      <c r="I118" s="78"/>
      <c r="J118" s="78"/>
      <c r="K118" s="78"/>
      <c r="L118" s="79"/>
      <c r="M118" s="78"/>
      <c r="N118" s="78"/>
      <c r="O118" s="78"/>
      <c r="P118" s="78"/>
      <c r="Q118" s="78"/>
      <c r="R118" s="78"/>
      <c r="S118" s="80" t="str">
        <f t="shared" si="1"/>
        <v/>
      </c>
      <c r="T118" s="80" t="str">
        <f t="shared" si="2"/>
        <v/>
      </c>
      <c r="U118" s="81"/>
      <c r="V118" s="81"/>
      <c r="W118" s="81"/>
      <c r="X118" s="81"/>
      <c r="Y118" s="81"/>
      <c r="Z118" s="81"/>
      <c r="AA118" s="82" t="str">
        <f t="shared" si="3"/>
        <v/>
      </c>
      <c r="AB118" s="82" t="str">
        <f t="shared" si="4"/>
        <v/>
      </c>
      <c r="AC118" s="82" t="str">
        <f t="shared" si="5"/>
        <v/>
      </c>
      <c r="AD118" s="82" t="str">
        <f t="shared" si="6"/>
        <v/>
      </c>
      <c r="AE118" s="83">
        <f t="shared" si="7"/>
        <v>0</v>
      </c>
      <c r="AF118" s="83">
        <f t="shared" si="8"/>
        <v>0</v>
      </c>
      <c r="AG118" s="79"/>
      <c r="AH118" s="78"/>
      <c r="AI118" s="78"/>
    </row>
    <row r="119" ht="15.75" customHeight="1">
      <c r="A119" s="78"/>
      <c r="B119" s="79"/>
      <c r="C119" s="78"/>
      <c r="D119" s="78"/>
      <c r="E119" s="78"/>
      <c r="F119" s="78"/>
      <c r="G119" s="78"/>
      <c r="H119" s="78"/>
      <c r="I119" s="78"/>
      <c r="J119" s="78"/>
      <c r="K119" s="78"/>
      <c r="L119" s="79"/>
      <c r="M119" s="78"/>
      <c r="N119" s="78"/>
      <c r="O119" s="78"/>
      <c r="P119" s="78"/>
      <c r="Q119" s="78"/>
      <c r="R119" s="78"/>
      <c r="S119" s="80" t="str">
        <f t="shared" si="1"/>
        <v/>
      </c>
      <c r="T119" s="80" t="str">
        <f t="shared" si="2"/>
        <v/>
      </c>
      <c r="U119" s="81"/>
      <c r="V119" s="81"/>
      <c r="W119" s="81"/>
      <c r="X119" s="81"/>
      <c r="Y119" s="81"/>
      <c r="Z119" s="81"/>
      <c r="AA119" s="82" t="str">
        <f t="shared" si="3"/>
        <v/>
      </c>
      <c r="AB119" s="82" t="str">
        <f t="shared" si="4"/>
        <v/>
      </c>
      <c r="AC119" s="82" t="str">
        <f t="shared" si="5"/>
        <v/>
      </c>
      <c r="AD119" s="82" t="str">
        <f t="shared" si="6"/>
        <v/>
      </c>
      <c r="AE119" s="83">
        <f t="shared" si="7"/>
        <v>0</v>
      </c>
      <c r="AF119" s="83">
        <f t="shared" si="8"/>
        <v>0</v>
      </c>
      <c r="AG119" s="79"/>
      <c r="AH119" s="78"/>
      <c r="AI119" s="78"/>
    </row>
    <row r="120" ht="15.75" customHeight="1">
      <c r="A120" s="78"/>
      <c r="B120" s="79"/>
      <c r="C120" s="78"/>
      <c r="D120" s="78"/>
      <c r="E120" s="78"/>
      <c r="F120" s="78"/>
      <c r="G120" s="78"/>
      <c r="H120" s="78"/>
      <c r="I120" s="78"/>
      <c r="J120" s="78"/>
      <c r="K120" s="78"/>
      <c r="L120" s="79"/>
      <c r="M120" s="78"/>
      <c r="N120" s="78"/>
      <c r="O120" s="78"/>
      <c r="P120" s="78"/>
      <c r="Q120" s="78"/>
      <c r="R120" s="78"/>
      <c r="S120" s="80" t="str">
        <f t="shared" si="1"/>
        <v/>
      </c>
      <c r="T120" s="80" t="str">
        <f t="shared" si="2"/>
        <v/>
      </c>
      <c r="U120" s="81"/>
      <c r="V120" s="81"/>
      <c r="W120" s="81"/>
      <c r="X120" s="81"/>
      <c r="Y120" s="81"/>
      <c r="Z120" s="81"/>
      <c r="AA120" s="82" t="str">
        <f t="shared" si="3"/>
        <v/>
      </c>
      <c r="AB120" s="82" t="str">
        <f t="shared" si="4"/>
        <v/>
      </c>
      <c r="AC120" s="82" t="str">
        <f t="shared" si="5"/>
        <v/>
      </c>
      <c r="AD120" s="82" t="str">
        <f t="shared" si="6"/>
        <v/>
      </c>
      <c r="AE120" s="83">
        <f t="shared" si="7"/>
        <v>0</v>
      </c>
      <c r="AF120" s="83">
        <f t="shared" si="8"/>
        <v>0</v>
      </c>
      <c r="AG120" s="79"/>
      <c r="AH120" s="78"/>
      <c r="AI120" s="78"/>
    </row>
    <row r="121" ht="15.75" customHeight="1">
      <c r="A121" s="78"/>
      <c r="B121" s="79"/>
      <c r="C121" s="78"/>
      <c r="D121" s="78"/>
      <c r="E121" s="78"/>
      <c r="F121" s="78"/>
      <c r="G121" s="78"/>
      <c r="H121" s="78"/>
      <c r="I121" s="78"/>
      <c r="J121" s="78"/>
      <c r="K121" s="78"/>
      <c r="L121" s="79"/>
      <c r="M121" s="78"/>
      <c r="N121" s="78"/>
      <c r="O121" s="78"/>
      <c r="P121" s="78"/>
      <c r="Q121" s="78"/>
      <c r="R121" s="78"/>
      <c r="S121" s="80" t="str">
        <f t="shared" si="1"/>
        <v/>
      </c>
      <c r="T121" s="80" t="str">
        <f t="shared" si="2"/>
        <v/>
      </c>
      <c r="U121" s="81"/>
      <c r="V121" s="81"/>
      <c r="W121" s="81"/>
      <c r="X121" s="81"/>
      <c r="Y121" s="81"/>
      <c r="Z121" s="81"/>
      <c r="AA121" s="82" t="str">
        <f t="shared" si="3"/>
        <v/>
      </c>
      <c r="AB121" s="82" t="str">
        <f t="shared" si="4"/>
        <v/>
      </c>
      <c r="AC121" s="82" t="str">
        <f t="shared" si="5"/>
        <v/>
      </c>
      <c r="AD121" s="82" t="str">
        <f t="shared" si="6"/>
        <v/>
      </c>
      <c r="AE121" s="83">
        <f t="shared" si="7"/>
        <v>0</v>
      </c>
      <c r="AF121" s="83">
        <f t="shared" si="8"/>
        <v>0</v>
      </c>
      <c r="AG121" s="79"/>
      <c r="AH121" s="78"/>
      <c r="AI121" s="78"/>
    </row>
    <row r="122" ht="15.75" customHeight="1">
      <c r="A122" s="78"/>
      <c r="B122" s="79"/>
      <c r="C122" s="78"/>
      <c r="D122" s="78"/>
      <c r="E122" s="78"/>
      <c r="F122" s="78"/>
      <c r="G122" s="78"/>
      <c r="H122" s="78"/>
      <c r="I122" s="78"/>
      <c r="J122" s="78"/>
      <c r="K122" s="78"/>
      <c r="L122" s="79"/>
      <c r="M122" s="78"/>
      <c r="N122" s="78"/>
      <c r="O122" s="78"/>
      <c r="P122" s="78"/>
      <c r="Q122" s="78"/>
      <c r="R122" s="78"/>
      <c r="S122" s="80" t="str">
        <f t="shared" si="1"/>
        <v/>
      </c>
      <c r="T122" s="80" t="str">
        <f t="shared" si="2"/>
        <v/>
      </c>
      <c r="U122" s="81"/>
      <c r="V122" s="81"/>
      <c r="W122" s="81"/>
      <c r="X122" s="81"/>
      <c r="Y122" s="81"/>
      <c r="Z122" s="81"/>
      <c r="AA122" s="82" t="str">
        <f t="shared" si="3"/>
        <v/>
      </c>
      <c r="AB122" s="82" t="str">
        <f t="shared" si="4"/>
        <v/>
      </c>
      <c r="AC122" s="82" t="str">
        <f t="shared" si="5"/>
        <v/>
      </c>
      <c r="AD122" s="82" t="str">
        <f t="shared" si="6"/>
        <v/>
      </c>
      <c r="AE122" s="83">
        <f t="shared" si="7"/>
        <v>0</v>
      </c>
      <c r="AF122" s="83">
        <f t="shared" si="8"/>
        <v>0</v>
      </c>
      <c r="AG122" s="79"/>
      <c r="AH122" s="78"/>
      <c r="AI122" s="78"/>
    </row>
    <row r="123" ht="15.75" customHeight="1">
      <c r="A123" s="78"/>
      <c r="B123" s="79"/>
      <c r="C123" s="78"/>
      <c r="D123" s="78"/>
      <c r="E123" s="78"/>
      <c r="F123" s="78"/>
      <c r="G123" s="78"/>
      <c r="H123" s="78"/>
      <c r="I123" s="78"/>
      <c r="J123" s="78"/>
      <c r="K123" s="78"/>
      <c r="L123" s="79"/>
      <c r="M123" s="78"/>
      <c r="N123" s="78"/>
      <c r="O123" s="78"/>
      <c r="P123" s="78"/>
      <c r="Q123" s="78"/>
      <c r="R123" s="78"/>
      <c r="S123" s="80" t="str">
        <f t="shared" si="1"/>
        <v/>
      </c>
      <c r="T123" s="80" t="str">
        <f t="shared" si="2"/>
        <v/>
      </c>
      <c r="U123" s="81"/>
      <c r="V123" s="81"/>
      <c r="W123" s="81"/>
      <c r="X123" s="81"/>
      <c r="Y123" s="81"/>
      <c r="Z123" s="81"/>
      <c r="AA123" s="82" t="str">
        <f t="shared" si="3"/>
        <v/>
      </c>
      <c r="AB123" s="82" t="str">
        <f t="shared" si="4"/>
        <v/>
      </c>
      <c r="AC123" s="82" t="str">
        <f t="shared" si="5"/>
        <v/>
      </c>
      <c r="AD123" s="82" t="str">
        <f t="shared" si="6"/>
        <v/>
      </c>
      <c r="AE123" s="83">
        <f t="shared" si="7"/>
        <v>0</v>
      </c>
      <c r="AF123" s="83">
        <f t="shared" si="8"/>
        <v>0</v>
      </c>
      <c r="AG123" s="79"/>
      <c r="AH123" s="78"/>
      <c r="AI123" s="78"/>
    </row>
    <row r="124" ht="15.75" customHeight="1">
      <c r="A124" s="78"/>
      <c r="B124" s="79"/>
      <c r="C124" s="78"/>
      <c r="D124" s="78"/>
      <c r="E124" s="78"/>
      <c r="F124" s="78"/>
      <c r="G124" s="78"/>
      <c r="H124" s="78"/>
      <c r="I124" s="78"/>
      <c r="J124" s="78"/>
      <c r="K124" s="78"/>
      <c r="L124" s="79"/>
      <c r="M124" s="78"/>
      <c r="N124" s="78"/>
      <c r="O124" s="78"/>
      <c r="P124" s="78"/>
      <c r="Q124" s="78"/>
      <c r="R124" s="78"/>
      <c r="S124" s="80" t="str">
        <f t="shared" si="1"/>
        <v/>
      </c>
      <c r="T124" s="80" t="str">
        <f t="shared" si="2"/>
        <v/>
      </c>
      <c r="U124" s="81"/>
      <c r="V124" s="81"/>
      <c r="W124" s="81"/>
      <c r="X124" s="81"/>
      <c r="Y124" s="81"/>
      <c r="Z124" s="81"/>
      <c r="AA124" s="82" t="str">
        <f t="shared" si="3"/>
        <v/>
      </c>
      <c r="AB124" s="82" t="str">
        <f t="shared" si="4"/>
        <v/>
      </c>
      <c r="AC124" s="82" t="str">
        <f t="shared" si="5"/>
        <v/>
      </c>
      <c r="AD124" s="82" t="str">
        <f t="shared" si="6"/>
        <v/>
      </c>
      <c r="AE124" s="83">
        <f t="shared" si="7"/>
        <v>0</v>
      </c>
      <c r="AF124" s="83">
        <f t="shared" si="8"/>
        <v>0</v>
      </c>
      <c r="AG124" s="79"/>
      <c r="AH124" s="78"/>
      <c r="AI124" s="78"/>
    </row>
    <row r="125" ht="15.75" customHeight="1">
      <c r="A125" s="78"/>
      <c r="B125" s="79"/>
      <c r="C125" s="78"/>
      <c r="D125" s="78"/>
      <c r="E125" s="78"/>
      <c r="F125" s="78"/>
      <c r="G125" s="78"/>
      <c r="H125" s="78"/>
      <c r="I125" s="78"/>
      <c r="J125" s="78"/>
      <c r="K125" s="78"/>
      <c r="L125" s="79"/>
      <c r="M125" s="78"/>
      <c r="N125" s="78"/>
      <c r="O125" s="78"/>
      <c r="P125" s="78"/>
      <c r="Q125" s="78"/>
      <c r="R125" s="78"/>
      <c r="S125" s="80" t="str">
        <f t="shared" si="1"/>
        <v/>
      </c>
      <c r="T125" s="80" t="str">
        <f t="shared" si="2"/>
        <v/>
      </c>
      <c r="U125" s="81"/>
      <c r="V125" s="81"/>
      <c r="W125" s="81"/>
      <c r="X125" s="81"/>
      <c r="Y125" s="81"/>
      <c r="Z125" s="81"/>
      <c r="AA125" s="82" t="str">
        <f t="shared" si="3"/>
        <v/>
      </c>
      <c r="AB125" s="82" t="str">
        <f t="shared" si="4"/>
        <v/>
      </c>
      <c r="AC125" s="82" t="str">
        <f t="shared" si="5"/>
        <v/>
      </c>
      <c r="AD125" s="82" t="str">
        <f t="shared" si="6"/>
        <v/>
      </c>
      <c r="AE125" s="83">
        <f t="shared" si="7"/>
        <v>0</v>
      </c>
      <c r="AF125" s="83">
        <f t="shared" si="8"/>
        <v>0</v>
      </c>
      <c r="AG125" s="79"/>
      <c r="AH125" s="78"/>
      <c r="AI125" s="78"/>
    </row>
    <row r="126" ht="15.75" customHeight="1">
      <c r="A126" s="78"/>
      <c r="B126" s="79"/>
      <c r="C126" s="78"/>
      <c r="D126" s="78"/>
      <c r="E126" s="78"/>
      <c r="F126" s="78"/>
      <c r="G126" s="78"/>
      <c r="H126" s="78"/>
      <c r="I126" s="78"/>
      <c r="J126" s="78"/>
      <c r="K126" s="78"/>
      <c r="L126" s="79"/>
      <c r="M126" s="78"/>
      <c r="N126" s="78"/>
      <c r="O126" s="78"/>
      <c r="P126" s="78"/>
      <c r="Q126" s="78"/>
      <c r="R126" s="78"/>
      <c r="S126" s="80" t="str">
        <f t="shared" si="1"/>
        <v/>
      </c>
      <c r="T126" s="80" t="str">
        <f t="shared" si="2"/>
        <v/>
      </c>
      <c r="U126" s="81"/>
      <c r="V126" s="81"/>
      <c r="W126" s="81"/>
      <c r="X126" s="81"/>
      <c r="Y126" s="81"/>
      <c r="Z126" s="81"/>
      <c r="AA126" s="82" t="str">
        <f t="shared" si="3"/>
        <v/>
      </c>
      <c r="AB126" s="82" t="str">
        <f t="shared" si="4"/>
        <v/>
      </c>
      <c r="AC126" s="82" t="str">
        <f t="shared" si="5"/>
        <v/>
      </c>
      <c r="AD126" s="82" t="str">
        <f t="shared" si="6"/>
        <v/>
      </c>
      <c r="AE126" s="83">
        <f t="shared" si="7"/>
        <v>0</v>
      </c>
      <c r="AF126" s="83">
        <f t="shared" si="8"/>
        <v>0</v>
      </c>
      <c r="AG126" s="79"/>
      <c r="AH126" s="78"/>
      <c r="AI126" s="78"/>
    </row>
    <row r="127" ht="15.75" customHeight="1">
      <c r="A127" s="78"/>
      <c r="B127" s="79"/>
      <c r="C127" s="78"/>
      <c r="D127" s="78"/>
      <c r="E127" s="78"/>
      <c r="F127" s="78"/>
      <c r="G127" s="78"/>
      <c r="H127" s="78"/>
      <c r="I127" s="78"/>
      <c r="J127" s="78"/>
      <c r="K127" s="78"/>
      <c r="L127" s="79"/>
      <c r="M127" s="78"/>
      <c r="N127" s="78"/>
      <c r="O127" s="78"/>
      <c r="P127" s="78"/>
      <c r="Q127" s="78"/>
      <c r="R127" s="78"/>
      <c r="S127" s="80" t="str">
        <f t="shared" si="1"/>
        <v/>
      </c>
      <c r="T127" s="80" t="str">
        <f t="shared" si="2"/>
        <v/>
      </c>
      <c r="U127" s="81"/>
      <c r="V127" s="81"/>
      <c r="W127" s="81"/>
      <c r="X127" s="81"/>
      <c r="Y127" s="81"/>
      <c r="Z127" s="81"/>
      <c r="AA127" s="82" t="str">
        <f t="shared" si="3"/>
        <v/>
      </c>
      <c r="AB127" s="82" t="str">
        <f t="shared" si="4"/>
        <v/>
      </c>
      <c r="AC127" s="82" t="str">
        <f t="shared" si="5"/>
        <v/>
      </c>
      <c r="AD127" s="82" t="str">
        <f t="shared" si="6"/>
        <v/>
      </c>
      <c r="AE127" s="83">
        <f t="shared" si="7"/>
        <v>0</v>
      </c>
      <c r="AF127" s="83">
        <f t="shared" si="8"/>
        <v>0</v>
      </c>
      <c r="AG127" s="79"/>
      <c r="AH127" s="78"/>
      <c r="AI127" s="78"/>
    </row>
    <row r="128" ht="15.75" customHeight="1">
      <c r="A128" s="78"/>
      <c r="B128" s="79"/>
      <c r="C128" s="78"/>
      <c r="D128" s="78"/>
      <c r="E128" s="78"/>
      <c r="F128" s="78"/>
      <c r="G128" s="78"/>
      <c r="H128" s="78"/>
      <c r="I128" s="78"/>
      <c r="J128" s="78"/>
      <c r="K128" s="78"/>
      <c r="L128" s="79"/>
      <c r="M128" s="78"/>
      <c r="N128" s="78"/>
      <c r="O128" s="78"/>
      <c r="P128" s="78"/>
      <c r="Q128" s="78"/>
      <c r="R128" s="78"/>
      <c r="S128" s="80" t="str">
        <f t="shared" si="1"/>
        <v/>
      </c>
      <c r="T128" s="80" t="str">
        <f t="shared" si="2"/>
        <v/>
      </c>
      <c r="U128" s="81"/>
      <c r="V128" s="81"/>
      <c r="W128" s="81"/>
      <c r="X128" s="81"/>
      <c r="Y128" s="81"/>
      <c r="Z128" s="81"/>
      <c r="AA128" s="82" t="str">
        <f t="shared" si="3"/>
        <v/>
      </c>
      <c r="AB128" s="82" t="str">
        <f t="shared" si="4"/>
        <v/>
      </c>
      <c r="AC128" s="82" t="str">
        <f t="shared" si="5"/>
        <v/>
      </c>
      <c r="AD128" s="82" t="str">
        <f t="shared" si="6"/>
        <v/>
      </c>
      <c r="AE128" s="83">
        <f t="shared" si="7"/>
        <v>0</v>
      </c>
      <c r="AF128" s="83">
        <f t="shared" si="8"/>
        <v>0</v>
      </c>
      <c r="AG128" s="79"/>
      <c r="AH128" s="78"/>
      <c r="AI128" s="78"/>
    </row>
    <row r="129" ht="15.75" customHeight="1">
      <c r="A129" s="78"/>
      <c r="B129" s="79"/>
      <c r="C129" s="78"/>
      <c r="D129" s="78"/>
      <c r="E129" s="78"/>
      <c r="F129" s="78"/>
      <c r="G129" s="78"/>
      <c r="H129" s="78"/>
      <c r="I129" s="78"/>
      <c r="J129" s="78"/>
      <c r="K129" s="78"/>
      <c r="L129" s="79"/>
      <c r="M129" s="78"/>
      <c r="N129" s="78"/>
      <c r="O129" s="78"/>
      <c r="P129" s="78"/>
      <c r="Q129" s="78"/>
      <c r="R129" s="78"/>
      <c r="S129" s="80" t="str">
        <f t="shared" si="1"/>
        <v/>
      </c>
      <c r="T129" s="80" t="str">
        <f t="shared" si="2"/>
        <v/>
      </c>
      <c r="U129" s="81"/>
      <c r="V129" s="81"/>
      <c r="W129" s="81"/>
      <c r="X129" s="81"/>
      <c r="Y129" s="81"/>
      <c r="Z129" s="81"/>
      <c r="AA129" s="82" t="str">
        <f t="shared" si="3"/>
        <v/>
      </c>
      <c r="AB129" s="82" t="str">
        <f t="shared" si="4"/>
        <v/>
      </c>
      <c r="AC129" s="82" t="str">
        <f t="shared" si="5"/>
        <v/>
      </c>
      <c r="AD129" s="82" t="str">
        <f t="shared" si="6"/>
        <v/>
      </c>
      <c r="AE129" s="83">
        <f t="shared" si="7"/>
        <v>0</v>
      </c>
      <c r="AF129" s="83">
        <f t="shared" si="8"/>
        <v>0</v>
      </c>
      <c r="AG129" s="79"/>
      <c r="AH129" s="78"/>
      <c r="AI129" s="78"/>
    </row>
    <row r="130" ht="15.75" customHeight="1">
      <c r="A130" s="78"/>
      <c r="B130" s="79"/>
      <c r="C130" s="78"/>
      <c r="D130" s="78"/>
      <c r="E130" s="78"/>
      <c r="F130" s="78"/>
      <c r="G130" s="78"/>
      <c r="H130" s="78"/>
      <c r="I130" s="78"/>
      <c r="J130" s="78"/>
      <c r="K130" s="78"/>
      <c r="L130" s="79"/>
      <c r="M130" s="78"/>
      <c r="N130" s="78"/>
      <c r="O130" s="78"/>
      <c r="P130" s="78"/>
      <c r="Q130" s="78"/>
      <c r="R130" s="78"/>
      <c r="S130" s="80" t="str">
        <f t="shared" si="1"/>
        <v/>
      </c>
      <c r="T130" s="80" t="str">
        <f t="shared" si="2"/>
        <v/>
      </c>
      <c r="U130" s="81"/>
      <c r="V130" s="81"/>
      <c r="W130" s="81"/>
      <c r="X130" s="81"/>
      <c r="Y130" s="81"/>
      <c r="Z130" s="81"/>
      <c r="AA130" s="82" t="str">
        <f t="shared" si="3"/>
        <v/>
      </c>
      <c r="AB130" s="82" t="str">
        <f t="shared" si="4"/>
        <v/>
      </c>
      <c r="AC130" s="82" t="str">
        <f t="shared" si="5"/>
        <v/>
      </c>
      <c r="AD130" s="82" t="str">
        <f t="shared" si="6"/>
        <v/>
      </c>
      <c r="AE130" s="83">
        <f t="shared" si="7"/>
        <v>0</v>
      </c>
      <c r="AF130" s="83">
        <f t="shared" si="8"/>
        <v>0</v>
      </c>
      <c r="AG130" s="79"/>
      <c r="AH130" s="78"/>
      <c r="AI130" s="78"/>
    </row>
    <row r="131" ht="15.75" customHeight="1">
      <c r="A131" s="78"/>
      <c r="B131" s="79"/>
      <c r="C131" s="78"/>
      <c r="D131" s="78"/>
      <c r="E131" s="78"/>
      <c r="F131" s="78"/>
      <c r="G131" s="78"/>
      <c r="H131" s="78"/>
      <c r="I131" s="78"/>
      <c r="J131" s="78"/>
      <c r="K131" s="78"/>
      <c r="L131" s="79"/>
      <c r="M131" s="78"/>
      <c r="N131" s="78"/>
      <c r="O131" s="78"/>
      <c r="P131" s="78"/>
      <c r="Q131" s="78"/>
      <c r="R131" s="78"/>
      <c r="S131" s="80" t="str">
        <f t="shared" si="1"/>
        <v/>
      </c>
      <c r="T131" s="80" t="str">
        <f t="shared" si="2"/>
        <v/>
      </c>
      <c r="U131" s="81"/>
      <c r="V131" s="81"/>
      <c r="W131" s="81"/>
      <c r="X131" s="81"/>
      <c r="Y131" s="81"/>
      <c r="Z131" s="81"/>
      <c r="AA131" s="82" t="str">
        <f t="shared" si="3"/>
        <v/>
      </c>
      <c r="AB131" s="82" t="str">
        <f t="shared" si="4"/>
        <v/>
      </c>
      <c r="AC131" s="82" t="str">
        <f t="shared" si="5"/>
        <v/>
      </c>
      <c r="AD131" s="82" t="str">
        <f t="shared" si="6"/>
        <v/>
      </c>
      <c r="AE131" s="83">
        <f t="shared" si="7"/>
        <v>0</v>
      </c>
      <c r="AF131" s="83">
        <f t="shared" si="8"/>
        <v>0</v>
      </c>
      <c r="AG131" s="79"/>
      <c r="AH131" s="78"/>
      <c r="AI131" s="78"/>
    </row>
    <row r="132" ht="15.75" customHeight="1">
      <c r="A132" s="78"/>
      <c r="B132" s="79"/>
      <c r="C132" s="78"/>
      <c r="D132" s="78"/>
      <c r="E132" s="78"/>
      <c r="F132" s="78"/>
      <c r="G132" s="78"/>
      <c r="H132" s="78"/>
      <c r="I132" s="78"/>
      <c r="J132" s="78"/>
      <c r="K132" s="78"/>
      <c r="L132" s="79"/>
      <c r="M132" s="78"/>
      <c r="N132" s="78"/>
      <c r="O132" s="78"/>
      <c r="P132" s="78"/>
      <c r="Q132" s="78"/>
      <c r="R132" s="78"/>
      <c r="S132" s="80" t="str">
        <f t="shared" si="1"/>
        <v/>
      </c>
      <c r="T132" s="80" t="str">
        <f t="shared" si="2"/>
        <v/>
      </c>
      <c r="U132" s="81"/>
      <c r="V132" s="81"/>
      <c r="W132" s="81"/>
      <c r="X132" s="81"/>
      <c r="Y132" s="81"/>
      <c r="Z132" s="81"/>
      <c r="AA132" s="82" t="str">
        <f t="shared" si="3"/>
        <v/>
      </c>
      <c r="AB132" s="82" t="str">
        <f t="shared" si="4"/>
        <v/>
      </c>
      <c r="AC132" s="82" t="str">
        <f t="shared" si="5"/>
        <v/>
      </c>
      <c r="AD132" s="82" t="str">
        <f t="shared" si="6"/>
        <v/>
      </c>
      <c r="AE132" s="83">
        <f t="shared" si="7"/>
        <v>0</v>
      </c>
      <c r="AF132" s="83">
        <f t="shared" si="8"/>
        <v>0</v>
      </c>
      <c r="AG132" s="79"/>
      <c r="AH132" s="78"/>
      <c r="AI132" s="78"/>
    </row>
    <row r="133" ht="15.75" customHeight="1">
      <c r="A133" s="78"/>
      <c r="B133" s="79"/>
      <c r="C133" s="78"/>
      <c r="D133" s="78"/>
      <c r="E133" s="78"/>
      <c r="F133" s="78"/>
      <c r="G133" s="78"/>
      <c r="H133" s="78"/>
      <c r="I133" s="78"/>
      <c r="J133" s="78"/>
      <c r="K133" s="78"/>
      <c r="L133" s="79"/>
      <c r="M133" s="78"/>
      <c r="N133" s="78"/>
      <c r="O133" s="78"/>
      <c r="P133" s="78"/>
      <c r="Q133" s="78"/>
      <c r="R133" s="78"/>
      <c r="S133" s="80" t="str">
        <f t="shared" si="1"/>
        <v/>
      </c>
      <c r="T133" s="80" t="str">
        <f t="shared" si="2"/>
        <v/>
      </c>
      <c r="U133" s="81"/>
      <c r="V133" s="81"/>
      <c r="W133" s="81"/>
      <c r="X133" s="81"/>
      <c r="Y133" s="81"/>
      <c r="Z133" s="81"/>
      <c r="AA133" s="82" t="str">
        <f t="shared" si="3"/>
        <v/>
      </c>
      <c r="AB133" s="82" t="str">
        <f t="shared" si="4"/>
        <v/>
      </c>
      <c r="AC133" s="82" t="str">
        <f t="shared" si="5"/>
        <v/>
      </c>
      <c r="AD133" s="82" t="str">
        <f t="shared" si="6"/>
        <v/>
      </c>
      <c r="AE133" s="83">
        <f t="shared" si="7"/>
        <v>0</v>
      </c>
      <c r="AF133" s="83">
        <f t="shared" si="8"/>
        <v>0</v>
      </c>
      <c r="AG133" s="79"/>
      <c r="AH133" s="78"/>
      <c r="AI133" s="78"/>
    </row>
    <row r="134" ht="15.75" customHeight="1">
      <c r="A134" s="78"/>
      <c r="B134" s="79"/>
      <c r="C134" s="78"/>
      <c r="D134" s="78"/>
      <c r="E134" s="78"/>
      <c r="F134" s="78"/>
      <c r="G134" s="78"/>
      <c r="H134" s="78"/>
      <c r="I134" s="78"/>
      <c r="J134" s="78"/>
      <c r="K134" s="78"/>
      <c r="L134" s="79"/>
      <c r="M134" s="78"/>
      <c r="N134" s="78"/>
      <c r="O134" s="78"/>
      <c r="P134" s="78"/>
      <c r="Q134" s="78"/>
      <c r="R134" s="78"/>
      <c r="S134" s="80" t="str">
        <f t="shared" si="1"/>
        <v/>
      </c>
      <c r="T134" s="80" t="str">
        <f t="shared" si="2"/>
        <v/>
      </c>
      <c r="U134" s="81"/>
      <c r="V134" s="81"/>
      <c r="W134" s="81"/>
      <c r="X134" s="81"/>
      <c r="Y134" s="81"/>
      <c r="Z134" s="81"/>
      <c r="AA134" s="82" t="str">
        <f t="shared" si="3"/>
        <v/>
      </c>
      <c r="AB134" s="82" t="str">
        <f t="shared" si="4"/>
        <v/>
      </c>
      <c r="AC134" s="82" t="str">
        <f t="shared" si="5"/>
        <v/>
      </c>
      <c r="AD134" s="82" t="str">
        <f t="shared" si="6"/>
        <v/>
      </c>
      <c r="AE134" s="83">
        <f t="shared" si="7"/>
        <v>0</v>
      </c>
      <c r="AF134" s="83">
        <f t="shared" si="8"/>
        <v>0</v>
      </c>
      <c r="AG134" s="79"/>
      <c r="AH134" s="78"/>
      <c r="AI134" s="78"/>
    </row>
    <row r="135" ht="15.75" customHeight="1">
      <c r="A135" s="78"/>
      <c r="B135" s="79"/>
      <c r="C135" s="78"/>
      <c r="D135" s="78"/>
      <c r="E135" s="78"/>
      <c r="F135" s="78"/>
      <c r="G135" s="78"/>
      <c r="H135" s="78"/>
      <c r="I135" s="78"/>
      <c r="J135" s="78"/>
      <c r="K135" s="78"/>
      <c r="L135" s="79"/>
      <c r="M135" s="78"/>
      <c r="N135" s="78"/>
      <c r="O135" s="78"/>
      <c r="P135" s="78"/>
      <c r="Q135" s="78"/>
      <c r="R135" s="78"/>
      <c r="S135" s="80" t="str">
        <f t="shared" si="1"/>
        <v/>
      </c>
      <c r="T135" s="80" t="str">
        <f t="shared" si="2"/>
        <v/>
      </c>
      <c r="U135" s="81"/>
      <c r="V135" s="81"/>
      <c r="W135" s="81"/>
      <c r="X135" s="81"/>
      <c r="Y135" s="81"/>
      <c r="Z135" s="81"/>
      <c r="AA135" s="82" t="str">
        <f t="shared" si="3"/>
        <v/>
      </c>
      <c r="AB135" s="82" t="str">
        <f t="shared" si="4"/>
        <v/>
      </c>
      <c r="AC135" s="82" t="str">
        <f t="shared" si="5"/>
        <v/>
      </c>
      <c r="AD135" s="82" t="str">
        <f t="shared" si="6"/>
        <v/>
      </c>
      <c r="AE135" s="83">
        <f t="shared" si="7"/>
        <v>0</v>
      </c>
      <c r="AF135" s="83">
        <f t="shared" si="8"/>
        <v>0</v>
      </c>
      <c r="AG135" s="79"/>
      <c r="AH135" s="78"/>
      <c r="AI135" s="78"/>
    </row>
    <row r="136" ht="15.75" customHeight="1">
      <c r="A136" s="78"/>
      <c r="B136" s="79"/>
      <c r="C136" s="78"/>
      <c r="D136" s="78"/>
      <c r="E136" s="78"/>
      <c r="F136" s="78"/>
      <c r="G136" s="78"/>
      <c r="H136" s="78"/>
      <c r="I136" s="78"/>
      <c r="J136" s="78"/>
      <c r="K136" s="78"/>
      <c r="L136" s="79"/>
      <c r="M136" s="78"/>
      <c r="N136" s="78"/>
      <c r="O136" s="78"/>
      <c r="P136" s="78"/>
      <c r="Q136" s="78"/>
      <c r="R136" s="78"/>
      <c r="S136" s="80" t="str">
        <f t="shared" si="1"/>
        <v/>
      </c>
      <c r="T136" s="80" t="str">
        <f t="shared" si="2"/>
        <v/>
      </c>
      <c r="U136" s="81"/>
      <c r="V136" s="81"/>
      <c r="W136" s="81"/>
      <c r="X136" s="81"/>
      <c r="Y136" s="81"/>
      <c r="Z136" s="81"/>
      <c r="AA136" s="82" t="str">
        <f t="shared" si="3"/>
        <v/>
      </c>
      <c r="AB136" s="82" t="str">
        <f t="shared" si="4"/>
        <v/>
      </c>
      <c r="AC136" s="82" t="str">
        <f t="shared" si="5"/>
        <v/>
      </c>
      <c r="AD136" s="82" t="str">
        <f t="shared" si="6"/>
        <v/>
      </c>
      <c r="AE136" s="83">
        <f t="shared" si="7"/>
        <v>0</v>
      </c>
      <c r="AF136" s="83">
        <f t="shared" si="8"/>
        <v>0</v>
      </c>
      <c r="AG136" s="79"/>
      <c r="AH136" s="78"/>
      <c r="AI136" s="78"/>
    </row>
    <row r="137" ht="15.75" customHeight="1">
      <c r="A137" s="78"/>
      <c r="B137" s="79"/>
      <c r="C137" s="78"/>
      <c r="D137" s="78"/>
      <c r="E137" s="78"/>
      <c r="F137" s="78"/>
      <c r="G137" s="78"/>
      <c r="H137" s="78"/>
      <c r="I137" s="78"/>
      <c r="J137" s="78"/>
      <c r="K137" s="78"/>
      <c r="L137" s="79"/>
      <c r="M137" s="78"/>
      <c r="N137" s="78"/>
      <c r="O137" s="78"/>
      <c r="P137" s="78"/>
      <c r="Q137" s="78"/>
      <c r="R137" s="78"/>
      <c r="S137" s="80" t="str">
        <f t="shared" si="1"/>
        <v/>
      </c>
      <c r="T137" s="80" t="str">
        <f t="shared" si="2"/>
        <v/>
      </c>
      <c r="U137" s="81"/>
      <c r="V137" s="81"/>
      <c r="W137" s="81"/>
      <c r="X137" s="81"/>
      <c r="Y137" s="81"/>
      <c r="Z137" s="81"/>
      <c r="AA137" s="82" t="str">
        <f t="shared" si="3"/>
        <v/>
      </c>
      <c r="AB137" s="82" t="str">
        <f t="shared" si="4"/>
        <v/>
      </c>
      <c r="AC137" s="82" t="str">
        <f t="shared" si="5"/>
        <v/>
      </c>
      <c r="AD137" s="82" t="str">
        <f t="shared" si="6"/>
        <v/>
      </c>
      <c r="AE137" s="83">
        <f t="shared" si="7"/>
        <v>0</v>
      </c>
      <c r="AF137" s="83">
        <f t="shared" si="8"/>
        <v>0</v>
      </c>
      <c r="AG137" s="79"/>
      <c r="AH137" s="78"/>
      <c r="AI137" s="78"/>
    </row>
    <row r="138" ht="15.75" customHeight="1">
      <c r="A138" s="78"/>
      <c r="B138" s="79"/>
      <c r="C138" s="78"/>
      <c r="D138" s="78"/>
      <c r="E138" s="78"/>
      <c r="F138" s="78"/>
      <c r="G138" s="78"/>
      <c r="H138" s="78"/>
      <c r="I138" s="78"/>
      <c r="J138" s="78"/>
      <c r="K138" s="78"/>
      <c r="L138" s="79"/>
      <c r="M138" s="78"/>
      <c r="N138" s="78"/>
      <c r="O138" s="78"/>
      <c r="P138" s="78"/>
      <c r="Q138" s="78"/>
      <c r="R138" s="78"/>
      <c r="S138" s="80" t="str">
        <f t="shared" si="1"/>
        <v/>
      </c>
      <c r="T138" s="80" t="str">
        <f t="shared" si="2"/>
        <v/>
      </c>
      <c r="U138" s="81"/>
      <c r="V138" s="81"/>
      <c r="W138" s="81"/>
      <c r="X138" s="81"/>
      <c r="Y138" s="81"/>
      <c r="Z138" s="81"/>
      <c r="AA138" s="82" t="str">
        <f t="shared" si="3"/>
        <v/>
      </c>
      <c r="AB138" s="82" t="str">
        <f t="shared" si="4"/>
        <v/>
      </c>
      <c r="AC138" s="82" t="str">
        <f t="shared" si="5"/>
        <v/>
      </c>
      <c r="AD138" s="82" t="str">
        <f t="shared" si="6"/>
        <v/>
      </c>
      <c r="AE138" s="83">
        <f t="shared" si="7"/>
        <v>0</v>
      </c>
      <c r="AF138" s="83">
        <f t="shared" si="8"/>
        <v>0</v>
      </c>
      <c r="AG138" s="79"/>
      <c r="AH138" s="78"/>
      <c r="AI138" s="78"/>
    </row>
    <row r="139" ht="15.75" customHeight="1">
      <c r="A139" s="78"/>
      <c r="B139" s="79"/>
      <c r="C139" s="78"/>
      <c r="D139" s="78"/>
      <c r="E139" s="78"/>
      <c r="F139" s="78"/>
      <c r="G139" s="78"/>
      <c r="H139" s="78"/>
      <c r="I139" s="78"/>
      <c r="J139" s="78"/>
      <c r="K139" s="78"/>
      <c r="L139" s="79"/>
      <c r="M139" s="78"/>
      <c r="N139" s="78"/>
      <c r="O139" s="78"/>
      <c r="P139" s="78"/>
      <c r="Q139" s="78"/>
      <c r="R139" s="78"/>
      <c r="S139" s="80" t="str">
        <f t="shared" si="1"/>
        <v/>
      </c>
      <c r="T139" s="80" t="str">
        <f t="shared" si="2"/>
        <v/>
      </c>
      <c r="U139" s="81"/>
      <c r="V139" s="81"/>
      <c r="W139" s="81"/>
      <c r="X139" s="81"/>
      <c r="Y139" s="81"/>
      <c r="Z139" s="81"/>
      <c r="AA139" s="82" t="str">
        <f t="shared" si="3"/>
        <v/>
      </c>
      <c r="AB139" s="82" t="str">
        <f t="shared" si="4"/>
        <v/>
      </c>
      <c r="AC139" s="82" t="str">
        <f t="shared" si="5"/>
        <v/>
      </c>
      <c r="AD139" s="82" t="str">
        <f t="shared" si="6"/>
        <v/>
      </c>
      <c r="AE139" s="83">
        <f t="shared" si="7"/>
        <v>0</v>
      </c>
      <c r="AF139" s="83">
        <f t="shared" si="8"/>
        <v>0</v>
      </c>
      <c r="AG139" s="79"/>
      <c r="AH139" s="78"/>
      <c r="AI139" s="78"/>
    </row>
    <row r="140" ht="15.75" customHeight="1">
      <c r="A140" s="78"/>
      <c r="B140" s="79"/>
      <c r="C140" s="78"/>
      <c r="D140" s="78"/>
      <c r="E140" s="78"/>
      <c r="F140" s="78"/>
      <c r="G140" s="78"/>
      <c r="H140" s="78"/>
      <c r="I140" s="78"/>
      <c r="J140" s="78"/>
      <c r="K140" s="78"/>
      <c r="L140" s="79"/>
      <c r="M140" s="78"/>
      <c r="N140" s="78"/>
      <c r="O140" s="78"/>
      <c r="P140" s="78"/>
      <c r="Q140" s="78"/>
      <c r="R140" s="78"/>
      <c r="S140" s="80" t="str">
        <f t="shared" si="1"/>
        <v/>
      </c>
      <c r="T140" s="80" t="str">
        <f t="shared" si="2"/>
        <v/>
      </c>
      <c r="U140" s="81"/>
      <c r="V140" s="81"/>
      <c r="W140" s="81"/>
      <c r="X140" s="81"/>
      <c r="Y140" s="81"/>
      <c r="Z140" s="81"/>
      <c r="AA140" s="82" t="str">
        <f t="shared" si="3"/>
        <v/>
      </c>
      <c r="AB140" s="82" t="str">
        <f t="shared" si="4"/>
        <v/>
      </c>
      <c r="AC140" s="82" t="str">
        <f t="shared" si="5"/>
        <v/>
      </c>
      <c r="AD140" s="82" t="str">
        <f t="shared" si="6"/>
        <v/>
      </c>
      <c r="AE140" s="83">
        <f t="shared" si="7"/>
        <v>0</v>
      </c>
      <c r="AF140" s="83">
        <f t="shared" si="8"/>
        <v>0</v>
      </c>
      <c r="AG140" s="79"/>
      <c r="AH140" s="78"/>
      <c r="AI140" s="78"/>
    </row>
    <row r="141" ht="15.75" customHeight="1">
      <c r="A141" s="78"/>
      <c r="B141" s="79"/>
      <c r="C141" s="78"/>
      <c r="D141" s="78"/>
      <c r="E141" s="78"/>
      <c r="F141" s="78"/>
      <c r="G141" s="78"/>
      <c r="H141" s="78"/>
      <c r="I141" s="78"/>
      <c r="J141" s="78"/>
      <c r="K141" s="78"/>
      <c r="L141" s="79"/>
      <c r="M141" s="78"/>
      <c r="N141" s="78"/>
      <c r="O141" s="78"/>
      <c r="P141" s="78"/>
      <c r="Q141" s="78"/>
      <c r="R141" s="78"/>
      <c r="S141" s="80" t="str">
        <f t="shared" si="1"/>
        <v/>
      </c>
      <c r="T141" s="80" t="str">
        <f t="shared" si="2"/>
        <v/>
      </c>
      <c r="U141" s="81"/>
      <c r="V141" s="81"/>
      <c r="W141" s="81"/>
      <c r="X141" s="81"/>
      <c r="Y141" s="81"/>
      <c r="Z141" s="81"/>
      <c r="AA141" s="82" t="str">
        <f t="shared" si="3"/>
        <v/>
      </c>
      <c r="AB141" s="82" t="str">
        <f t="shared" si="4"/>
        <v/>
      </c>
      <c r="AC141" s="82" t="str">
        <f t="shared" si="5"/>
        <v/>
      </c>
      <c r="AD141" s="82" t="str">
        <f t="shared" si="6"/>
        <v/>
      </c>
      <c r="AE141" s="83">
        <f t="shared" si="7"/>
        <v>0</v>
      </c>
      <c r="AF141" s="83">
        <f t="shared" si="8"/>
        <v>0</v>
      </c>
      <c r="AG141" s="79"/>
      <c r="AH141" s="78"/>
      <c r="AI141" s="78"/>
    </row>
    <row r="142" ht="15.75" customHeight="1">
      <c r="A142" s="78"/>
      <c r="B142" s="79"/>
      <c r="C142" s="78"/>
      <c r="D142" s="78"/>
      <c r="E142" s="78"/>
      <c r="F142" s="78"/>
      <c r="G142" s="78"/>
      <c r="H142" s="78"/>
      <c r="I142" s="78"/>
      <c r="J142" s="78"/>
      <c r="K142" s="78"/>
      <c r="L142" s="79"/>
      <c r="M142" s="78"/>
      <c r="N142" s="78"/>
      <c r="O142" s="78"/>
      <c r="P142" s="78"/>
      <c r="Q142" s="78"/>
      <c r="R142" s="78"/>
      <c r="S142" s="80" t="str">
        <f t="shared" si="1"/>
        <v/>
      </c>
      <c r="T142" s="80" t="str">
        <f t="shared" si="2"/>
        <v/>
      </c>
      <c r="U142" s="81"/>
      <c r="V142" s="81"/>
      <c r="W142" s="81"/>
      <c r="X142" s="81"/>
      <c r="Y142" s="81"/>
      <c r="Z142" s="81"/>
      <c r="AA142" s="82" t="str">
        <f t="shared" si="3"/>
        <v/>
      </c>
      <c r="AB142" s="82" t="str">
        <f t="shared" si="4"/>
        <v/>
      </c>
      <c r="AC142" s="82" t="str">
        <f t="shared" si="5"/>
        <v/>
      </c>
      <c r="AD142" s="82" t="str">
        <f t="shared" si="6"/>
        <v/>
      </c>
      <c r="AE142" s="83">
        <f t="shared" si="7"/>
        <v>0</v>
      </c>
      <c r="AF142" s="83">
        <f t="shared" si="8"/>
        <v>0</v>
      </c>
      <c r="AG142" s="79"/>
      <c r="AH142" s="78"/>
      <c r="AI142" s="78"/>
    </row>
    <row r="143" ht="15.75" customHeight="1">
      <c r="A143" s="78"/>
      <c r="B143" s="79"/>
      <c r="C143" s="78"/>
      <c r="D143" s="78"/>
      <c r="E143" s="78"/>
      <c r="F143" s="78"/>
      <c r="G143" s="78"/>
      <c r="H143" s="78"/>
      <c r="I143" s="78"/>
      <c r="J143" s="78"/>
      <c r="K143" s="78"/>
      <c r="L143" s="79"/>
      <c r="M143" s="78"/>
      <c r="N143" s="78"/>
      <c r="O143" s="78"/>
      <c r="P143" s="78"/>
      <c r="Q143" s="78"/>
      <c r="R143" s="78"/>
      <c r="S143" s="80" t="str">
        <f t="shared" si="1"/>
        <v/>
      </c>
      <c r="T143" s="80" t="str">
        <f t="shared" si="2"/>
        <v/>
      </c>
      <c r="U143" s="81"/>
      <c r="V143" s="81"/>
      <c r="W143" s="81"/>
      <c r="X143" s="81"/>
      <c r="Y143" s="81"/>
      <c r="Z143" s="81"/>
      <c r="AA143" s="82" t="str">
        <f t="shared" si="3"/>
        <v/>
      </c>
      <c r="AB143" s="82" t="str">
        <f t="shared" si="4"/>
        <v/>
      </c>
      <c r="AC143" s="82" t="str">
        <f t="shared" si="5"/>
        <v/>
      </c>
      <c r="AD143" s="82" t="str">
        <f t="shared" si="6"/>
        <v/>
      </c>
      <c r="AE143" s="83">
        <f t="shared" si="7"/>
        <v>0</v>
      </c>
      <c r="AF143" s="83">
        <f t="shared" si="8"/>
        <v>0</v>
      </c>
      <c r="AG143" s="79"/>
      <c r="AH143" s="78"/>
      <c r="AI143" s="78"/>
    </row>
    <row r="144" ht="15.75" customHeight="1">
      <c r="A144" s="78"/>
      <c r="B144" s="79"/>
      <c r="C144" s="78"/>
      <c r="D144" s="78"/>
      <c r="E144" s="78"/>
      <c r="F144" s="78"/>
      <c r="G144" s="78"/>
      <c r="H144" s="78"/>
      <c r="I144" s="78"/>
      <c r="J144" s="78"/>
      <c r="K144" s="78"/>
      <c r="L144" s="79"/>
      <c r="M144" s="78"/>
      <c r="N144" s="78"/>
      <c r="O144" s="78"/>
      <c r="P144" s="78"/>
      <c r="Q144" s="78"/>
      <c r="R144" s="78"/>
      <c r="S144" s="80" t="str">
        <f t="shared" si="1"/>
        <v/>
      </c>
      <c r="T144" s="80" t="str">
        <f t="shared" si="2"/>
        <v/>
      </c>
      <c r="U144" s="81"/>
      <c r="V144" s="81"/>
      <c r="W144" s="81"/>
      <c r="X144" s="81"/>
      <c r="Y144" s="81"/>
      <c r="Z144" s="81"/>
      <c r="AA144" s="82" t="str">
        <f t="shared" si="3"/>
        <v/>
      </c>
      <c r="AB144" s="82" t="str">
        <f t="shared" si="4"/>
        <v/>
      </c>
      <c r="AC144" s="82" t="str">
        <f t="shared" si="5"/>
        <v/>
      </c>
      <c r="AD144" s="82" t="str">
        <f t="shared" si="6"/>
        <v/>
      </c>
      <c r="AE144" s="83">
        <f t="shared" si="7"/>
        <v>0</v>
      </c>
      <c r="AF144" s="83">
        <f t="shared" si="8"/>
        <v>0</v>
      </c>
      <c r="AG144" s="79"/>
      <c r="AH144" s="78"/>
      <c r="AI144" s="78"/>
    </row>
    <row r="145" ht="15.75" customHeight="1">
      <c r="A145" s="78"/>
      <c r="B145" s="79"/>
      <c r="C145" s="78"/>
      <c r="D145" s="78"/>
      <c r="E145" s="78"/>
      <c r="F145" s="78"/>
      <c r="G145" s="78"/>
      <c r="H145" s="78"/>
      <c r="I145" s="78"/>
      <c r="J145" s="78"/>
      <c r="K145" s="78"/>
      <c r="L145" s="79"/>
      <c r="M145" s="78"/>
      <c r="N145" s="78"/>
      <c r="O145" s="78"/>
      <c r="P145" s="78"/>
      <c r="Q145" s="78"/>
      <c r="R145" s="78"/>
      <c r="S145" s="80" t="str">
        <f t="shared" si="1"/>
        <v/>
      </c>
      <c r="T145" s="80" t="str">
        <f t="shared" si="2"/>
        <v/>
      </c>
      <c r="U145" s="81"/>
      <c r="V145" s="81"/>
      <c r="W145" s="81"/>
      <c r="X145" s="81"/>
      <c r="Y145" s="81"/>
      <c r="Z145" s="81"/>
      <c r="AA145" s="82" t="str">
        <f t="shared" si="3"/>
        <v/>
      </c>
      <c r="AB145" s="82" t="str">
        <f t="shared" si="4"/>
        <v/>
      </c>
      <c r="AC145" s="82" t="str">
        <f t="shared" si="5"/>
        <v/>
      </c>
      <c r="AD145" s="82" t="str">
        <f t="shared" si="6"/>
        <v/>
      </c>
      <c r="AE145" s="83">
        <f t="shared" si="7"/>
        <v>0</v>
      </c>
      <c r="AF145" s="83">
        <f t="shared" si="8"/>
        <v>0</v>
      </c>
      <c r="AG145" s="79"/>
      <c r="AH145" s="78"/>
      <c r="AI145" s="78"/>
    </row>
    <row r="146" ht="15.75" customHeight="1">
      <c r="A146" s="78"/>
      <c r="B146" s="79"/>
      <c r="C146" s="78"/>
      <c r="D146" s="78"/>
      <c r="E146" s="78"/>
      <c r="F146" s="78"/>
      <c r="G146" s="78"/>
      <c r="H146" s="78"/>
      <c r="I146" s="78"/>
      <c r="J146" s="78"/>
      <c r="K146" s="78"/>
      <c r="L146" s="79"/>
      <c r="M146" s="78"/>
      <c r="N146" s="78"/>
      <c r="O146" s="78"/>
      <c r="P146" s="78"/>
      <c r="Q146" s="78"/>
      <c r="R146" s="78"/>
      <c r="S146" s="80" t="str">
        <f t="shared" si="1"/>
        <v/>
      </c>
      <c r="T146" s="80" t="str">
        <f t="shared" si="2"/>
        <v/>
      </c>
      <c r="U146" s="81"/>
      <c r="V146" s="81"/>
      <c r="W146" s="81"/>
      <c r="X146" s="81"/>
      <c r="Y146" s="81"/>
      <c r="Z146" s="81"/>
      <c r="AA146" s="82" t="str">
        <f t="shared" si="3"/>
        <v/>
      </c>
      <c r="AB146" s="82" t="str">
        <f t="shared" si="4"/>
        <v/>
      </c>
      <c r="AC146" s="82" t="str">
        <f t="shared" si="5"/>
        <v/>
      </c>
      <c r="AD146" s="82" t="str">
        <f t="shared" si="6"/>
        <v/>
      </c>
      <c r="AE146" s="83">
        <f t="shared" si="7"/>
        <v>0</v>
      </c>
      <c r="AF146" s="83">
        <f t="shared" si="8"/>
        <v>0</v>
      </c>
      <c r="AG146" s="79"/>
      <c r="AH146" s="78"/>
      <c r="AI146" s="78"/>
    </row>
    <row r="147" ht="15.75" customHeight="1">
      <c r="A147" s="78"/>
      <c r="B147" s="79"/>
      <c r="C147" s="78"/>
      <c r="D147" s="78"/>
      <c r="E147" s="78"/>
      <c r="F147" s="78"/>
      <c r="G147" s="78"/>
      <c r="H147" s="78"/>
      <c r="I147" s="78"/>
      <c r="J147" s="78"/>
      <c r="K147" s="78"/>
      <c r="L147" s="79"/>
      <c r="M147" s="78"/>
      <c r="N147" s="78"/>
      <c r="O147" s="78"/>
      <c r="P147" s="78"/>
      <c r="Q147" s="78"/>
      <c r="R147" s="78"/>
      <c r="S147" s="80" t="str">
        <f t="shared" si="1"/>
        <v/>
      </c>
      <c r="T147" s="80" t="str">
        <f t="shared" si="2"/>
        <v/>
      </c>
      <c r="U147" s="81"/>
      <c r="V147" s="81"/>
      <c r="W147" s="81"/>
      <c r="X147" s="81"/>
      <c r="Y147" s="81"/>
      <c r="Z147" s="81"/>
      <c r="AA147" s="82" t="str">
        <f t="shared" si="3"/>
        <v/>
      </c>
      <c r="AB147" s="82" t="str">
        <f t="shared" si="4"/>
        <v/>
      </c>
      <c r="AC147" s="82" t="str">
        <f t="shared" si="5"/>
        <v/>
      </c>
      <c r="AD147" s="82" t="str">
        <f t="shared" si="6"/>
        <v/>
      </c>
      <c r="AE147" s="83">
        <f t="shared" si="7"/>
        <v>0</v>
      </c>
      <c r="AF147" s="83">
        <f t="shared" si="8"/>
        <v>0</v>
      </c>
      <c r="AG147" s="79"/>
      <c r="AH147" s="78"/>
      <c r="AI147" s="78"/>
    </row>
    <row r="148" ht="15.75" customHeight="1">
      <c r="A148" s="78"/>
      <c r="B148" s="79"/>
      <c r="C148" s="78"/>
      <c r="D148" s="78"/>
      <c r="E148" s="78"/>
      <c r="F148" s="78"/>
      <c r="G148" s="78"/>
      <c r="H148" s="78"/>
      <c r="I148" s="78"/>
      <c r="J148" s="78"/>
      <c r="K148" s="78"/>
      <c r="L148" s="79"/>
      <c r="M148" s="78"/>
      <c r="N148" s="78"/>
      <c r="O148" s="78"/>
      <c r="P148" s="78"/>
      <c r="Q148" s="78"/>
      <c r="R148" s="78"/>
      <c r="S148" s="80" t="str">
        <f t="shared" si="1"/>
        <v/>
      </c>
      <c r="T148" s="80" t="str">
        <f t="shared" si="2"/>
        <v/>
      </c>
      <c r="U148" s="81"/>
      <c r="V148" s="81"/>
      <c r="W148" s="81"/>
      <c r="X148" s="81"/>
      <c r="Y148" s="81"/>
      <c r="Z148" s="81"/>
      <c r="AA148" s="82" t="str">
        <f t="shared" si="3"/>
        <v/>
      </c>
      <c r="AB148" s="82" t="str">
        <f t="shared" si="4"/>
        <v/>
      </c>
      <c r="AC148" s="82" t="str">
        <f t="shared" si="5"/>
        <v/>
      </c>
      <c r="AD148" s="82" t="str">
        <f t="shared" si="6"/>
        <v/>
      </c>
      <c r="AE148" s="83">
        <f t="shared" si="7"/>
        <v>0</v>
      </c>
      <c r="AF148" s="83">
        <f t="shared" si="8"/>
        <v>0</v>
      </c>
      <c r="AG148" s="79"/>
      <c r="AH148" s="78"/>
      <c r="AI148" s="78"/>
    </row>
    <row r="149" ht="15.75" customHeight="1">
      <c r="A149" s="78"/>
      <c r="B149" s="79"/>
      <c r="C149" s="78"/>
      <c r="D149" s="78"/>
      <c r="E149" s="78"/>
      <c r="F149" s="78"/>
      <c r="G149" s="78"/>
      <c r="H149" s="78"/>
      <c r="I149" s="78"/>
      <c r="J149" s="78"/>
      <c r="K149" s="78"/>
      <c r="L149" s="79"/>
      <c r="M149" s="78"/>
      <c r="N149" s="78"/>
      <c r="O149" s="78"/>
      <c r="P149" s="78"/>
      <c r="Q149" s="78"/>
      <c r="R149" s="78"/>
      <c r="S149" s="80" t="str">
        <f t="shared" si="1"/>
        <v/>
      </c>
      <c r="T149" s="80" t="str">
        <f t="shared" si="2"/>
        <v/>
      </c>
      <c r="U149" s="81"/>
      <c r="V149" s="81"/>
      <c r="W149" s="81"/>
      <c r="X149" s="81"/>
      <c r="Y149" s="81"/>
      <c r="Z149" s="81"/>
      <c r="AA149" s="82" t="str">
        <f t="shared" si="3"/>
        <v/>
      </c>
      <c r="AB149" s="82" t="str">
        <f t="shared" si="4"/>
        <v/>
      </c>
      <c r="AC149" s="82" t="str">
        <f t="shared" si="5"/>
        <v/>
      </c>
      <c r="AD149" s="82" t="str">
        <f t="shared" si="6"/>
        <v/>
      </c>
      <c r="AE149" s="83">
        <f t="shared" si="7"/>
        <v>0</v>
      </c>
      <c r="AF149" s="83">
        <f t="shared" si="8"/>
        <v>0</v>
      </c>
      <c r="AG149" s="79"/>
      <c r="AH149" s="78"/>
      <c r="AI149" s="78"/>
    </row>
    <row r="150" ht="15.75" customHeight="1">
      <c r="A150" s="78"/>
      <c r="B150" s="79"/>
      <c r="C150" s="78"/>
      <c r="D150" s="78"/>
      <c r="E150" s="78"/>
      <c r="F150" s="78"/>
      <c r="G150" s="78"/>
      <c r="H150" s="78"/>
      <c r="I150" s="78"/>
      <c r="J150" s="78"/>
      <c r="K150" s="78"/>
      <c r="L150" s="79"/>
      <c r="M150" s="78"/>
      <c r="N150" s="78"/>
      <c r="O150" s="78"/>
      <c r="P150" s="78"/>
      <c r="Q150" s="78"/>
      <c r="R150" s="78"/>
      <c r="S150" s="80" t="str">
        <f t="shared" si="1"/>
        <v/>
      </c>
      <c r="T150" s="80" t="str">
        <f t="shared" si="2"/>
        <v/>
      </c>
      <c r="U150" s="81"/>
      <c r="V150" s="81"/>
      <c r="W150" s="81"/>
      <c r="X150" s="81"/>
      <c r="Y150" s="81"/>
      <c r="Z150" s="81"/>
      <c r="AA150" s="82" t="str">
        <f t="shared" si="3"/>
        <v/>
      </c>
      <c r="AB150" s="82" t="str">
        <f t="shared" si="4"/>
        <v/>
      </c>
      <c r="AC150" s="82" t="str">
        <f t="shared" si="5"/>
        <v/>
      </c>
      <c r="AD150" s="82" t="str">
        <f t="shared" si="6"/>
        <v/>
      </c>
      <c r="AE150" s="83">
        <f t="shared" si="7"/>
        <v>0</v>
      </c>
      <c r="AF150" s="83">
        <f t="shared" si="8"/>
        <v>0</v>
      </c>
      <c r="AG150" s="79"/>
      <c r="AH150" s="78"/>
      <c r="AI150" s="78"/>
    </row>
    <row r="151" ht="15.75" customHeight="1">
      <c r="A151" s="78"/>
      <c r="B151" s="79"/>
      <c r="C151" s="78"/>
      <c r="D151" s="78"/>
      <c r="E151" s="78"/>
      <c r="F151" s="78"/>
      <c r="G151" s="78"/>
      <c r="H151" s="78"/>
      <c r="I151" s="78"/>
      <c r="J151" s="78"/>
      <c r="K151" s="78"/>
      <c r="L151" s="79"/>
      <c r="M151" s="78"/>
      <c r="N151" s="78"/>
      <c r="O151" s="78"/>
      <c r="P151" s="78"/>
      <c r="Q151" s="78"/>
      <c r="R151" s="78"/>
      <c r="S151" s="80" t="str">
        <f t="shared" si="1"/>
        <v/>
      </c>
      <c r="T151" s="80" t="str">
        <f t="shared" si="2"/>
        <v/>
      </c>
      <c r="U151" s="81"/>
      <c r="V151" s="81"/>
      <c r="W151" s="81"/>
      <c r="X151" s="81"/>
      <c r="Y151" s="81"/>
      <c r="Z151" s="81"/>
      <c r="AA151" s="82" t="str">
        <f t="shared" si="3"/>
        <v/>
      </c>
      <c r="AB151" s="82" t="str">
        <f t="shared" si="4"/>
        <v/>
      </c>
      <c r="AC151" s="82" t="str">
        <f t="shared" si="5"/>
        <v/>
      </c>
      <c r="AD151" s="82" t="str">
        <f t="shared" si="6"/>
        <v/>
      </c>
      <c r="AE151" s="83">
        <f t="shared" si="7"/>
        <v>0</v>
      </c>
      <c r="AF151" s="83">
        <f t="shared" si="8"/>
        <v>0</v>
      </c>
      <c r="AG151" s="79"/>
      <c r="AH151" s="78"/>
      <c r="AI151" s="78"/>
    </row>
    <row r="152" ht="15.75" customHeight="1">
      <c r="A152" s="78"/>
      <c r="B152" s="79"/>
      <c r="C152" s="78"/>
      <c r="D152" s="78"/>
      <c r="E152" s="78"/>
      <c r="F152" s="78"/>
      <c r="G152" s="78"/>
      <c r="H152" s="78"/>
      <c r="I152" s="78"/>
      <c r="J152" s="78"/>
      <c r="K152" s="78"/>
      <c r="L152" s="79"/>
      <c r="M152" s="78"/>
      <c r="N152" s="78"/>
      <c r="O152" s="78"/>
      <c r="P152" s="78"/>
      <c r="Q152" s="78"/>
      <c r="R152" s="78"/>
      <c r="S152" s="80" t="str">
        <f t="shared" si="1"/>
        <v/>
      </c>
      <c r="T152" s="80" t="str">
        <f t="shared" si="2"/>
        <v/>
      </c>
      <c r="U152" s="81"/>
      <c r="V152" s="81"/>
      <c r="W152" s="81"/>
      <c r="X152" s="81"/>
      <c r="Y152" s="81"/>
      <c r="Z152" s="81"/>
      <c r="AA152" s="82" t="str">
        <f t="shared" si="3"/>
        <v/>
      </c>
      <c r="AB152" s="82" t="str">
        <f t="shared" si="4"/>
        <v/>
      </c>
      <c r="AC152" s="82" t="str">
        <f t="shared" si="5"/>
        <v/>
      </c>
      <c r="AD152" s="82" t="str">
        <f t="shared" si="6"/>
        <v/>
      </c>
      <c r="AE152" s="83">
        <f t="shared" si="7"/>
        <v>0</v>
      </c>
      <c r="AF152" s="83">
        <f t="shared" si="8"/>
        <v>0</v>
      </c>
      <c r="AG152" s="79"/>
      <c r="AH152" s="78"/>
      <c r="AI152" s="78"/>
    </row>
    <row r="153" ht="15.75" customHeight="1">
      <c r="A153" s="78"/>
      <c r="B153" s="79"/>
      <c r="C153" s="78"/>
      <c r="D153" s="78"/>
      <c r="E153" s="78"/>
      <c r="F153" s="78"/>
      <c r="G153" s="78"/>
      <c r="H153" s="78"/>
      <c r="I153" s="78"/>
      <c r="J153" s="78"/>
      <c r="K153" s="78"/>
      <c r="L153" s="79"/>
      <c r="M153" s="78"/>
      <c r="N153" s="78"/>
      <c r="O153" s="78"/>
      <c r="P153" s="78"/>
      <c r="Q153" s="78"/>
      <c r="R153" s="78"/>
      <c r="S153" s="80" t="str">
        <f t="shared" si="1"/>
        <v/>
      </c>
      <c r="T153" s="80" t="str">
        <f t="shared" si="2"/>
        <v/>
      </c>
      <c r="U153" s="81"/>
      <c r="V153" s="81"/>
      <c r="W153" s="81"/>
      <c r="X153" s="81"/>
      <c r="Y153" s="81"/>
      <c r="Z153" s="81"/>
      <c r="AA153" s="82" t="str">
        <f t="shared" si="3"/>
        <v/>
      </c>
      <c r="AB153" s="82" t="str">
        <f t="shared" si="4"/>
        <v/>
      </c>
      <c r="AC153" s="82" t="str">
        <f t="shared" si="5"/>
        <v/>
      </c>
      <c r="AD153" s="82" t="str">
        <f t="shared" si="6"/>
        <v/>
      </c>
      <c r="AE153" s="83">
        <f t="shared" si="7"/>
        <v>0</v>
      </c>
      <c r="AF153" s="83">
        <f t="shared" si="8"/>
        <v>0</v>
      </c>
      <c r="AG153" s="79"/>
      <c r="AH153" s="78"/>
      <c r="AI153" s="78"/>
    </row>
    <row r="154" ht="15.75" customHeight="1">
      <c r="A154" s="78"/>
      <c r="B154" s="79"/>
      <c r="C154" s="78"/>
      <c r="D154" s="78"/>
      <c r="E154" s="78"/>
      <c r="F154" s="78"/>
      <c r="G154" s="78"/>
      <c r="H154" s="78"/>
      <c r="I154" s="78"/>
      <c r="J154" s="78"/>
      <c r="K154" s="78"/>
      <c r="L154" s="79"/>
      <c r="M154" s="78"/>
      <c r="N154" s="78"/>
      <c r="O154" s="78"/>
      <c r="P154" s="78"/>
      <c r="Q154" s="78"/>
      <c r="R154" s="78"/>
      <c r="S154" s="80" t="str">
        <f t="shared" si="1"/>
        <v/>
      </c>
      <c r="T154" s="80" t="str">
        <f t="shared" si="2"/>
        <v/>
      </c>
      <c r="U154" s="81"/>
      <c r="V154" s="81"/>
      <c r="W154" s="81"/>
      <c r="X154" s="81"/>
      <c r="Y154" s="81"/>
      <c r="Z154" s="81"/>
      <c r="AA154" s="82" t="str">
        <f t="shared" si="3"/>
        <v/>
      </c>
      <c r="AB154" s="82" t="str">
        <f t="shared" si="4"/>
        <v/>
      </c>
      <c r="AC154" s="82" t="str">
        <f t="shared" si="5"/>
        <v/>
      </c>
      <c r="AD154" s="82" t="str">
        <f t="shared" si="6"/>
        <v/>
      </c>
      <c r="AE154" s="83">
        <f t="shared" si="7"/>
        <v>0</v>
      </c>
      <c r="AF154" s="83">
        <f t="shared" si="8"/>
        <v>0</v>
      </c>
      <c r="AG154" s="79"/>
      <c r="AH154" s="78"/>
      <c r="AI154" s="78"/>
    </row>
    <row r="155" ht="15.75" customHeight="1">
      <c r="A155" s="78"/>
      <c r="B155" s="79"/>
      <c r="C155" s="78"/>
      <c r="D155" s="78"/>
      <c r="E155" s="78"/>
      <c r="F155" s="78"/>
      <c r="G155" s="78"/>
      <c r="H155" s="78"/>
      <c r="I155" s="78"/>
      <c r="J155" s="78"/>
      <c r="K155" s="78"/>
      <c r="L155" s="79"/>
      <c r="M155" s="78"/>
      <c r="N155" s="78"/>
      <c r="O155" s="78"/>
      <c r="P155" s="78"/>
      <c r="Q155" s="78"/>
      <c r="R155" s="78"/>
      <c r="S155" s="80" t="str">
        <f t="shared" si="1"/>
        <v/>
      </c>
      <c r="T155" s="80" t="str">
        <f t="shared" si="2"/>
        <v/>
      </c>
      <c r="U155" s="81"/>
      <c r="V155" s="81"/>
      <c r="W155" s="81"/>
      <c r="X155" s="81"/>
      <c r="Y155" s="81"/>
      <c r="Z155" s="81"/>
      <c r="AA155" s="82" t="str">
        <f t="shared" si="3"/>
        <v/>
      </c>
      <c r="AB155" s="82" t="str">
        <f t="shared" si="4"/>
        <v/>
      </c>
      <c r="AC155" s="82" t="str">
        <f t="shared" si="5"/>
        <v/>
      </c>
      <c r="AD155" s="82" t="str">
        <f t="shared" si="6"/>
        <v/>
      </c>
      <c r="AE155" s="83">
        <f t="shared" si="7"/>
        <v>0</v>
      </c>
      <c r="AF155" s="83">
        <f t="shared" si="8"/>
        <v>0</v>
      </c>
      <c r="AG155" s="79"/>
      <c r="AH155" s="78"/>
      <c r="AI155" s="78"/>
    </row>
    <row r="156" ht="15.75" customHeight="1">
      <c r="A156" s="78"/>
      <c r="B156" s="79"/>
      <c r="C156" s="78"/>
      <c r="D156" s="78"/>
      <c r="E156" s="78"/>
      <c r="F156" s="78"/>
      <c r="G156" s="78"/>
      <c r="H156" s="78"/>
      <c r="I156" s="78"/>
      <c r="J156" s="78"/>
      <c r="K156" s="78"/>
      <c r="L156" s="79"/>
      <c r="M156" s="78"/>
      <c r="N156" s="78"/>
      <c r="O156" s="78"/>
      <c r="P156" s="78"/>
      <c r="Q156" s="78"/>
      <c r="R156" s="78"/>
      <c r="S156" s="80" t="str">
        <f t="shared" si="1"/>
        <v/>
      </c>
      <c r="T156" s="80" t="str">
        <f t="shared" si="2"/>
        <v/>
      </c>
      <c r="U156" s="81"/>
      <c r="V156" s="81"/>
      <c r="W156" s="81"/>
      <c r="X156" s="81"/>
      <c r="Y156" s="81"/>
      <c r="Z156" s="81"/>
      <c r="AA156" s="82" t="str">
        <f t="shared" si="3"/>
        <v/>
      </c>
      <c r="AB156" s="82" t="str">
        <f t="shared" si="4"/>
        <v/>
      </c>
      <c r="AC156" s="82" t="str">
        <f t="shared" si="5"/>
        <v/>
      </c>
      <c r="AD156" s="82" t="str">
        <f t="shared" si="6"/>
        <v/>
      </c>
      <c r="AE156" s="83">
        <f t="shared" si="7"/>
        <v>0</v>
      </c>
      <c r="AF156" s="83">
        <f t="shared" si="8"/>
        <v>0</v>
      </c>
      <c r="AG156" s="79"/>
      <c r="AH156" s="78"/>
      <c r="AI156" s="78"/>
    </row>
    <row r="157" ht="15.75" customHeight="1">
      <c r="A157" s="78"/>
      <c r="B157" s="79"/>
      <c r="C157" s="78"/>
      <c r="D157" s="78"/>
      <c r="E157" s="78"/>
      <c r="F157" s="78"/>
      <c r="G157" s="78"/>
      <c r="H157" s="78"/>
      <c r="I157" s="78"/>
      <c r="J157" s="78"/>
      <c r="K157" s="78"/>
      <c r="L157" s="79"/>
      <c r="M157" s="78"/>
      <c r="N157" s="78"/>
      <c r="O157" s="78"/>
      <c r="P157" s="78"/>
      <c r="Q157" s="78"/>
      <c r="R157" s="78"/>
      <c r="S157" s="80" t="str">
        <f t="shared" si="1"/>
        <v/>
      </c>
      <c r="T157" s="80" t="str">
        <f t="shared" si="2"/>
        <v/>
      </c>
      <c r="U157" s="81"/>
      <c r="V157" s="81"/>
      <c r="W157" s="81"/>
      <c r="X157" s="81"/>
      <c r="Y157" s="81"/>
      <c r="Z157" s="81"/>
      <c r="AA157" s="82" t="str">
        <f t="shared" si="3"/>
        <v/>
      </c>
      <c r="AB157" s="82" t="str">
        <f t="shared" si="4"/>
        <v/>
      </c>
      <c r="AC157" s="82" t="str">
        <f t="shared" si="5"/>
        <v/>
      </c>
      <c r="AD157" s="82" t="str">
        <f t="shared" si="6"/>
        <v/>
      </c>
      <c r="AE157" s="83">
        <f t="shared" si="7"/>
        <v>0</v>
      </c>
      <c r="AF157" s="83">
        <f t="shared" si="8"/>
        <v>0</v>
      </c>
      <c r="AG157" s="79"/>
      <c r="AH157" s="78"/>
      <c r="AI157" s="78"/>
    </row>
    <row r="158" ht="15.75" customHeight="1">
      <c r="A158" s="78"/>
      <c r="B158" s="79"/>
      <c r="C158" s="78"/>
      <c r="D158" s="78"/>
      <c r="E158" s="78"/>
      <c r="F158" s="78"/>
      <c r="G158" s="78"/>
      <c r="H158" s="78"/>
      <c r="I158" s="78"/>
      <c r="J158" s="78"/>
      <c r="K158" s="78"/>
      <c r="L158" s="79"/>
      <c r="M158" s="78"/>
      <c r="N158" s="78"/>
      <c r="O158" s="78"/>
      <c r="P158" s="78"/>
      <c r="Q158" s="78"/>
      <c r="R158" s="78"/>
      <c r="S158" s="80" t="str">
        <f t="shared" si="1"/>
        <v/>
      </c>
      <c r="T158" s="80" t="str">
        <f t="shared" si="2"/>
        <v/>
      </c>
      <c r="U158" s="81"/>
      <c r="V158" s="81"/>
      <c r="W158" s="81"/>
      <c r="X158" s="81"/>
      <c r="Y158" s="81"/>
      <c r="Z158" s="81"/>
      <c r="AA158" s="82" t="str">
        <f t="shared" si="3"/>
        <v/>
      </c>
      <c r="AB158" s="82" t="str">
        <f t="shared" si="4"/>
        <v/>
      </c>
      <c r="AC158" s="82" t="str">
        <f t="shared" si="5"/>
        <v/>
      </c>
      <c r="AD158" s="82" t="str">
        <f t="shared" si="6"/>
        <v/>
      </c>
      <c r="AE158" s="83">
        <f t="shared" si="7"/>
        <v>0</v>
      </c>
      <c r="AF158" s="83">
        <f t="shared" si="8"/>
        <v>0</v>
      </c>
      <c r="AG158" s="79"/>
      <c r="AH158" s="78"/>
      <c r="AI158" s="78"/>
    </row>
    <row r="159" ht="15.75" customHeight="1">
      <c r="A159" s="78"/>
      <c r="B159" s="79"/>
      <c r="C159" s="78"/>
      <c r="D159" s="78"/>
      <c r="E159" s="78"/>
      <c r="F159" s="78"/>
      <c r="G159" s="78"/>
      <c r="H159" s="78"/>
      <c r="I159" s="78"/>
      <c r="J159" s="78"/>
      <c r="K159" s="78"/>
      <c r="L159" s="79"/>
      <c r="M159" s="78"/>
      <c r="N159" s="78"/>
      <c r="O159" s="78"/>
      <c r="P159" s="78"/>
      <c r="Q159" s="78"/>
      <c r="R159" s="78"/>
      <c r="S159" s="80" t="str">
        <f t="shared" si="1"/>
        <v/>
      </c>
      <c r="T159" s="80" t="str">
        <f t="shared" si="2"/>
        <v/>
      </c>
      <c r="U159" s="81"/>
      <c r="V159" s="81"/>
      <c r="W159" s="81"/>
      <c r="X159" s="81"/>
      <c r="Y159" s="81"/>
      <c r="Z159" s="81"/>
      <c r="AA159" s="82" t="str">
        <f t="shared" si="3"/>
        <v/>
      </c>
      <c r="AB159" s="82" t="str">
        <f t="shared" si="4"/>
        <v/>
      </c>
      <c r="AC159" s="82" t="str">
        <f t="shared" si="5"/>
        <v/>
      </c>
      <c r="AD159" s="82" t="str">
        <f t="shared" si="6"/>
        <v/>
      </c>
      <c r="AE159" s="83">
        <f t="shared" si="7"/>
        <v>0</v>
      </c>
      <c r="AF159" s="83">
        <f t="shared" si="8"/>
        <v>0</v>
      </c>
      <c r="AG159" s="79"/>
      <c r="AH159" s="78"/>
      <c r="AI159" s="78"/>
    </row>
    <row r="160" ht="15.75" customHeight="1">
      <c r="A160" s="78"/>
      <c r="B160" s="79"/>
      <c r="C160" s="78"/>
      <c r="D160" s="78"/>
      <c r="E160" s="78"/>
      <c r="F160" s="78"/>
      <c r="G160" s="78"/>
      <c r="H160" s="78"/>
      <c r="I160" s="78"/>
      <c r="J160" s="78"/>
      <c r="K160" s="78"/>
      <c r="L160" s="79"/>
      <c r="M160" s="78"/>
      <c r="N160" s="78"/>
      <c r="O160" s="78"/>
      <c r="P160" s="78"/>
      <c r="Q160" s="78"/>
      <c r="R160" s="78"/>
      <c r="S160" s="80" t="str">
        <f t="shared" si="1"/>
        <v/>
      </c>
      <c r="T160" s="80" t="str">
        <f t="shared" si="2"/>
        <v/>
      </c>
      <c r="U160" s="81"/>
      <c r="V160" s="81"/>
      <c r="W160" s="81"/>
      <c r="X160" s="81"/>
      <c r="Y160" s="81"/>
      <c r="Z160" s="81"/>
      <c r="AA160" s="82" t="str">
        <f t="shared" si="3"/>
        <v/>
      </c>
      <c r="AB160" s="82" t="str">
        <f t="shared" si="4"/>
        <v/>
      </c>
      <c r="AC160" s="82" t="str">
        <f t="shared" si="5"/>
        <v/>
      </c>
      <c r="AD160" s="82" t="str">
        <f t="shared" si="6"/>
        <v/>
      </c>
      <c r="AE160" s="83">
        <f t="shared" si="7"/>
        <v>0</v>
      </c>
      <c r="AF160" s="83">
        <f t="shared" si="8"/>
        <v>0</v>
      </c>
      <c r="AG160" s="79"/>
      <c r="AH160" s="78"/>
      <c r="AI160" s="78"/>
    </row>
    <row r="161" ht="15.75" customHeight="1">
      <c r="A161" s="78"/>
      <c r="B161" s="79"/>
      <c r="C161" s="78"/>
      <c r="D161" s="78"/>
      <c r="E161" s="78"/>
      <c r="F161" s="78"/>
      <c r="G161" s="78"/>
      <c r="H161" s="78"/>
      <c r="I161" s="78"/>
      <c r="J161" s="78"/>
      <c r="K161" s="78"/>
      <c r="L161" s="79"/>
      <c r="M161" s="78"/>
      <c r="N161" s="78"/>
      <c r="O161" s="78"/>
      <c r="P161" s="78"/>
      <c r="Q161" s="78"/>
      <c r="R161" s="78"/>
      <c r="S161" s="80" t="str">
        <f t="shared" si="1"/>
        <v/>
      </c>
      <c r="T161" s="80" t="str">
        <f t="shared" si="2"/>
        <v/>
      </c>
      <c r="U161" s="81"/>
      <c r="V161" s="81"/>
      <c r="W161" s="81"/>
      <c r="X161" s="81"/>
      <c r="Y161" s="81"/>
      <c r="Z161" s="81"/>
      <c r="AA161" s="82" t="str">
        <f t="shared" si="3"/>
        <v/>
      </c>
      <c r="AB161" s="82" t="str">
        <f t="shared" si="4"/>
        <v/>
      </c>
      <c r="AC161" s="82" t="str">
        <f t="shared" si="5"/>
        <v/>
      </c>
      <c r="AD161" s="82" t="str">
        <f t="shared" si="6"/>
        <v/>
      </c>
      <c r="AE161" s="83">
        <f t="shared" si="7"/>
        <v>0</v>
      </c>
      <c r="AF161" s="83">
        <f t="shared" si="8"/>
        <v>0</v>
      </c>
      <c r="AG161" s="79"/>
      <c r="AH161" s="78"/>
      <c r="AI161" s="78"/>
    </row>
    <row r="162" ht="15.75" customHeight="1">
      <c r="A162" s="78"/>
      <c r="B162" s="79"/>
      <c r="C162" s="78"/>
      <c r="D162" s="78"/>
      <c r="E162" s="78"/>
      <c r="F162" s="78"/>
      <c r="G162" s="78"/>
      <c r="H162" s="78"/>
      <c r="I162" s="78"/>
      <c r="J162" s="78"/>
      <c r="K162" s="78"/>
      <c r="L162" s="79"/>
      <c r="M162" s="78"/>
      <c r="N162" s="78"/>
      <c r="O162" s="78"/>
      <c r="P162" s="78"/>
      <c r="Q162" s="78"/>
      <c r="R162" s="78"/>
      <c r="S162" s="80" t="str">
        <f t="shared" si="1"/>
        <v/>
      </c>
      <c r="T162" s="80" t="str">
        <f t="shared" si="2"/>
        <v/>
      </c>
      <c r="U162" s="81"/>
      <c r="V162" s="81"/>
      <c r="W162" s="81"/>
      <c r="X162" s="81"/>
      <c r="Y162" s="81"/>
      <c r="Z162" s="81"/>
      <c r="AA162" s="82" t="str">
        <f t="shared" si="3"/>
        <v/>
      </c>
      <c r="AB162" s="82" t="str">
        <f t="shared" si="4"/>
        <v/>
      </c>
      <c r="AC162" s="82" t="str">
        <f t="shared" si="5"/>
        <v/>
      </c>
      <c r="AD162" s="82" t="str">
        <f t="shared" si="6"/>
        <v/>
      </c>
      <c r="AE162" s="83">
        <f t="shared" si="7"/>
        <v>0</v>
      </c>
      <c r="AF162" s="83">
        <f t="shared" si="8"/>
        <v>0</v>
      </c>
      <c r="AG162" s="79"/>
      <c r="AH162" s="78"/>
      <c r="AI162" s="78"/>
    </row>
    <row r="163" ht="15.75" customHeight="1">
      <c r="A163" s="78"/>
      <c r="B163" s="79"/>
      <c r="C163" s="78"/>
      <c r="D163" s="78"/>
      <c r="E163" s="78"/>
      <c r="F163" s="78"/>
      <c r="G163" s="78"/>
      <c r="H163" s="78"/>
      <c r="I163" s="78"/>
      <c r="J163" s="78"/>
      <c r="K163" s="78"/>
      <c r="L163" s="79"/>
      <c r="M163" s="78"/>
      <c r="N163" s="78"/>
      <c r="O163" s="78"/>
      <c r="P163" s="78"/>
      <c r="Q163" s="78"/>
      <c r="R163" s="78"/>
      <c r="S163" s="80" t="str">
        <f t="shared" si="1"/>
        <v/>
      </c>
      <c r="T163" s="80" t="str">
        <f t="shared" si="2"/>
        <v/>
      </c>
      <c r="U163" s="81"/>
      <c r="V163" s="81"/>
      <c r="W163" s="81"/>
      <c r="X163" s="81"/>
      <c r="Y163" s="81"/>
      <c r="Z163" s="81"/>
      <c r="AA163" s="82" t="str">
        <f t="shared" si="3"/>
        <v/>
      </c>
      <c r="AB163" s="82" t="str">
        <f t="shared" si="4"/>
        <v/>
      </c>
      <c r="AC163" s="82" t="str">
        <f t="shared" si="5"/>
        <v/>
      </c>
      <c r="AD163" s="82" t="str">
        <f t="shared" si="6"/>
        <v/>
      </c>
      <c r="AE163" s="83">
        <f t="shared" si="7"/>
        <v>0</v>
      </c>
      <c r="AF163" s="83">
        <f t="shared" si="8"/>
        <v>0</v>
      </c>
      <c r="AG163" s="79"/>
      <c r="AH163" s="78"/>
      <c r="AI163" s="78"/>
    </row>
    <row r="164" ht="15.75" customHeight="1">
      <c r="A164" s="78"/>
      <c r="B164" s="79"/>
      <c r="C164" s="78"/>
      <c r="D164" s="78"/>
      <c r="E164" s="78"/>
      <c r="F164" s="78"/>
      <c r="G164" s="78"/>
      <c r="H164" s="78"/>
      <c r="I164" s="78"/>
      <c r="J164" s="78"/>
      <c r="K164" s="78"/>
      <c r="L164" s="79"/>
      <c r="M164" s="78"/>
      <c r="N164" s="78"/>
      <c r="O164" s="78"/>
      <c r="P164" s="78"/>
      <c r="Q164" s="78"/>
      <c r="R164" s="78"/>
      <c r="S164" s="80" t="str">
        <f t="shared" si="1"/>
        <v/>
      </c>
      <c r="T164" s="80" t="str">
        <f t="shared" si="2"/>
        <v/>
      </c>
      <c r="U164" s="81"/>
      <c r="V164" s="81"/>
      <c r="W164" s="81"/>
      <c r="X164" s="81"/>
      <c r="Y164" s="81"/>
      <c r="Z164" s="81"/>
      <c r="AA164" s="82" t="str">
        <f t="shared" si="3"/>
        <v/>
      </c>
      <c r="AB164" s="82" t="str">
        <f t="shared" si="4"/>
        <v/>
      </c>
      <c r="AC164" s="82" t="str">
        <f t="shared" si="5"/>
        <v/>
      </c>
      <c r="AD164" s="82" t="str">
        <f t="shared" si="6"/>
        <v/>
      </c>
      <c r="AE164" s="83">
        <f t="shared" si="7"/>
        <v>0</v>
      </c>
      <c r="AF164" s="83">
        <f t="shared" si="8"/>
        <v>0</v>
      </c>
      <c r="AG164" s="79"/>
      <c r="AH164" s="78"/>
      <c r="AI164" s="78"/>
    </row>
    <row r="165" ht="15.75" customHeight="1">
      <c r="A165" s="78"/>
      <c r="B165" s="79"/>
      <c r="C165" s="78"/>
      <c r="D165" s="78"/>
      <c r="E165" s="78"/>
      <c r="F165" s="78"/>
      <c r="G165" s="78"/>
      <c r="H165" s="78"/>
      <c r="I165" s="78"/>
      <c r="J165" s="78"/>
      <c r="K165" s="78"/>
      <c r="L165" s="79"/>
      <c r="M165" s="78"/>
      <c r="N165" s="78"/>
      <c r="O165" s="78"/>
      <c r="P165" s="78"/>
      <c r="Q165" s="78"/>
      <c r="R165" s="78"/>
      <c r="S165" s="80" t="str">
        <f t="shared" si="1"/>
        <v/>
      </c>
      <c r="T165" s="80" t="str">
        <f t="shared" si="2"/>
        <v/>
      </c>
      <c r="U165" s="81"/>
      <c r="V165" s="81"/>
      <c r="W165" s="81"/>
      <c r="X165" s="81"/>
      <c r="Y165" s="81"/>
      <c r="Z165" s="81"/>
      <c r="AA165" s="82" t="str">
        <f t="shared" si="3"/>
        <v/>
      </c>
      <c r="AB165" s="82" t="str">
        <f t="shared" si="4"/>
        <v/>
      </c>
      <c r="AC165" s="82" t="str">
        <f t="shared" si="5"/>
        <v/>
      </c>
      <c r="AD165" s="82" t="str">
        <f t="shared" si="6"/>
        <v/>
      </c>
      <c r="AE165" s="83">
        <f t="shared" si="7"/>
        <v>0</v>
      </c>
      <c r="AF165" s="83">
        <f t="shared" si="8"/>
        <v>0</v>
      </c>
      <c r="AG165" s="79"/>
      <c r="AH165" s="78"/>
      <c r="AI165" s="78"/>
    </row>
    <row r="166" ht="15.75" customHeight="1">
      <c r="A166" s="78"/>
      <c r="B166" s="79"/>
      <c r="C166" s="78"/>
      <c r="D166" s="78"/>
      <c r="E166" s="78"/>
      <c r="F166" s="78"/>
      <c r="G166" s="78"/>
      <c r="H166" s="78"/>
      <c r="I166" s="78"/>
      <c r="J166" s="78"/>
      <c r="K166" s="78"/>
      <c r="L166" s="79"/>
      <c r="M166" s="78"/>
      <c r="N166" s="78"/>
      <c r="O166" s="78"/>
      <c r="P166" s="78"/>
      <c r="Q166" s="78"/>
      <c r="R166" s="78"/>
      <c r="S166" s="80" t="str">
        <f t="shared" si="1"/>
        <v/>
      </c>
      <c r="T166" s="80" t="str">
        <f t="shared" si="2"/>
        <v/>
      </c>
      <c r="U166" s="81"/>
      <c r="V166" s="81"/>
      <c r="W166" s="81"/>
      <c r="X166" s="81"/>
      <c r="Y166" s="81"/>
      <c r="Z166" s="81"/>
      <c r="AA166" s="82" t="str">
        <f t="shared" si="3"/>
        <v/>
      </c>
      <c r="AB166" s="82" t="str">
        <f t="shared" si="4"/>
        <v/>
      </c>
      <c r="AC166" s="82" t="str">
        <f t="shared" si="5"/>
        <v/>
      </c>
      <c r="AD166" s="82" t="str">
        <f t="shared" si="6"/>
        <v/>
      </c>
      <c r="AE166" s="83">
        <f t="shared" si="7"/>
        <v>0</v>
      </c>
      <c r="AF166" s="83">
        <f t="shared" si="8"/>
        <v>0</v>
      </c>
      <c r="AG166" s="79"/>
      <c r="AH166" s="78"/>
      <c r="AI166" s="78"/>
    </row>
    <row r="167" ht="15.75" customHeight="1">
      <c r="A167" s="78"/>
      <c r="B167" s="79"/>
      <c r="C167" s="78"/>
      <c r="D167" s="78"/>
      <c r="E167" s="78"/>
      <c r="F167" s="78"/>
      <c r="G167" s="78"/>
      <c r="H167" s="78"/>
      <c r="I167" s="78"/>
      <c r="J167" s="78"/>
      <c r="K167" s="78"/>
      <c r="L167" s="79"/>
      <c r="M167" s="78"/>
      <c r="N167" s="78"/>
      <c r="O167" s="78"/>
      <c r="P167" s="78"/>
      <c r="Q167" s="78"/>
      <c r="R167" s="78"/>
      <c r="S167" s="80" t="str">
        <f t="shared" si="1"/>
        <v/>
      </c>
      <c r="T167" s="80" t="str">
        <f t="shared" si="2"/>
        <v/>
      </c>
      <c r="U167" s="81"/>
      <c r="V167" s="81"/>
      <c r="W167" s="81"/>
      <c r="X167" s="81"/>
      <c r="Y167" s="81"/>
      <c r="Z167" s="81"/>
      <c r="AA167" s="82" t="str">
        <f t="shared" si="3"/>
        <v/>
      </c>
      <c r="AB167" s="82" t="str">
        <f t="shared" si="4"/>
        <v/>
      </c>
      <c r="AC167" s="82" t="str">
        <f t="shared" si="5"/>
        <v/>
      </c>
      <c r="AD167" s="82" t="str">
        <f t="shared" si="6"/>
        <v/>
      </c>
      <c r="AE167" s="83">
        <f t="shared" si="7"/>
        <v>0</v>
      </c>
      <c r="AF167" s="83">
        <f t="shared" si="8"/>
        <v>0</v>
      </c>
      <c r="AG167" s="79"/>
      <c r="AH167" s="78"/>
      <c r="AI167" s="78"/>
    </row>
    <row r="168" ht="15.75" customHeight="1">
      <c r="A168" s="78"/>
      <c r="B168" s="79"/>
      <c r="C168" s="78"/>
      <c r="D168" s="78"/>
      <c r="E168" s="78"/>
      <c r="F168" s="78"/>
      <c r="G168" s="78"/>
      <c r="H168" s="78"/>
      <c r="I168" s="78"/>
      <c r="J168" s="78"/>
      <c r="K168" s="78"/>
      <c r="L168" s="79"/>
      <c r="M168" s="78"/>
      <c r="N168" s="78"/>
      <c r="O168" s="78"/>
      <c r="P168" s="78"/>
      <c r="Q168" s="78"/>
      <c r="R168" s="78"/>
      <c r="S168" s="80" t="str">
        <f t="shared" si="1"/>
        <v/>
      </c>
      <c r="T168" s="80" t="str">
        <f t="shared" si="2"/>
        <v/>
      </c>
      <c r="U168" s="81"/>
      <c r="V168" s="81"/>
      <c r="W168" s="81"/>
      <c r="X168" s="81"/>
      <c r="Y168" s="81"/>
      <c r="Z168" s="81"/>
      <c r="AA168" s="82" t="str">
        <f t="shared" si="3"/>
        <v/>
      </c>
      <c r="AB168" s="82" t="str">
        <f t="shared" si="4"/>
        <v/>
      </c>
      <c r="AC168" s="82" t="str">
        <f t="shared" si="5"/>
        <v/>
      </c>
      <c r="AD168" s="82" t="str">
        <f t="shared" si="6"/>
        <v/>
      </c>
      <c r="AE168" s="83">
        <f t="shared" si="7"/>
        <v>0</v>
      </c>
      <c r="AF168" s="83">
        <f t="shared" si="8"/>
        <v>0</v>
      </c>
      <c r="AG168" s="79"/>
      <c r="AH168" s="78"/>
      <c r="AI168" s="78"/>
    </row>
    <row r="169" ht="15.75" customHeight="1">
      <c r="A169" s="78"/>
      <c r="B169" s="79"/>
      <c r="C169" s="78"/>
      <c r="D169" s="78"/>
      <c r="E169" s="78"/>
      <c r="F169" s="78"/>
      <c r="G169" s="78"/>
      <c r="H169" s="78"/>
      <c r="I169" s="78"/>
      <c r="J169" s="78"/>
      <c r="K169" s="78"/>
      <c r="L169" s="79"/>
      <c r="M169" s="78"/>
      <c r="N169" s="78"/>
      <c r="O169" s="78"/>
      <c r="P169" s="78"/>
      <c r="Q169" s="78"/>
      <c r="R169" s="78"/>
      <c r="S169" s="80" t="str">
        <f t="shared" si="1"/>
        <v/>
      </c>
      <c r="T169" s="80" t="str">
        <f t="shared" si="2"/>
        <v/>
      </c>
      <c r="U169" s="81"/>
      <c r="V169" s="81"/>
      <c r="W169" s="81"/>
      <c r="X169" s="81"/>
      <c r="Y169" s="81"/>
      <c r="Z169" s="81"/>
      <c r="AA169" s="82" t="str">
        <f t="shared" si="3"/>
        <v/>
      </c>
      <c r="AB169" s="82" t="str">
        <f t="shared" si="4"/>
        <v/>
      </c>
      <c r="AC169" s="82" t="str">
        <f t="shared" si="5"/>
        <v/>
      </c>
      <c r="AD169" s="82" t="str">
        <f t="shared" si="6"/>
        <v/>
      </c>
      <c r="AE169" s="83">
        <f t="shared" si="7"/>
        <v>0</v>
      </c>
      <c r="AF169" s="83">
        <f t="shared" si="8"/>
        <v>0</v>
      </c>
      <c r="AG169" s="79"/>
      <c r="AH169" s="78"/>
      <c r="AI169" s="78"/>
    </row>
    <row r="170" ht="15.75" customHeight="1">
      <c r="A170" s="78"/>
      <c r="B170" s="79"/>
      <c r="C170" s="78"/>
      <c r="D170" s="78"/>
      <c r="E170" s="78"/>
      <c r="F170" s="78"/>
      <c r="G170" s="78"/>
      <c r="H170" s="78"/>
      <c r="I170" s="78"/>
      <c r="J170" s="78"/>
      <c r="K170" s="78"/>
      <c r="L170" s="79"/>
      <c r="M170" s="78"/>
      <c r="N170" s="78"/>
      <c r="O170" s="78"/>
      <c r="P170" s="78"/>
      <c r="Q170" s="78"/>
      <c r="R170" s="78"/>
      <c r="S170" s="80" t="str">
        <f t="shared" si="1"/>
        <v/>
      </c>
      <c r="T170" s="80" t="str">
        <f t="shared" si="2"/>
        <v/>
      </c>
      <c r="U170" s="81"/>
      <c r="V170" s="81"/>
      <c r="W170" s="81"/>
      <c r="X170" s="81"/>
      <c r="Y170" s="81"/>
      <c r="Z170" s="81"/>
      <c r="AA170" s="82" t="str">
        <f t="shared" si="3"/>
        <v/>
      </c>
      <c r="AB170" s="82" t="str">
        <f t="shared" si="4"/>
        <v/>
      </c>
      <c r="AC170" s="82" t="str">
        <f t="shared" si="5"/>
        <v/>
      </c>
      <c r="AD170" s="82" t="str">
        <f t="shared" si="6"/>
        <v/>
      </c>
      <c r="AE170" s="83">
        <f t="shared" si="7"/>
        <v>0</v>
      </c>
      <c r="AF170" s="83">
        <f t="shared" si="8"/>
        <v>0</v>
      </c>
      <c r="AG170" s="79"/>
      <c r="AH170" s="78"/>
      <c r="AI170" s="78"/>
    </row>
    <row r="171" ht="15.75" customHeight="1">
      <c r="A171" s="78"/>
      <c r="B171" s="79"/>
      <c r="C171" s="78"/>
      <c r="D171" s="78"/>
      <c r="E171" s="78"/>
      <c r="F171" s="78"/>
      <c r="G171" s="78"/>
      <c r="H171" s="78"/>
      <c r="I171" s="78"/>
      <c r="J171" s="78"/>
      <c r="K171" s="78"/>
      <c r="L171" s="79"/>
      <c r="M171" s="78"/>
      <c r="N171" s="78"/>
      <c r="O171" s="78"/>
      <c r="P171" s="78"/>
      <c r="Q171" s="78"/>
      <c r="R171" s="78"/>
      <c r="S171" s="80" t="str">
        <f t="shared" si="1"/>
        <v/>
      </c>
      <c r="T171" s="80" t="str">
        <f t="shared" si="2"/>
        <v/>
      </c>
      <c r="U171" s="81"/>
      <c r="V171" s="81"/>
      <c r="W171" s="81"/>
      <c r="X171" s="81"/>
      <c r="Y171" s="81"/>
      <c r="Z171" s="81"/>
      <c r="AA171" s="82" t="str">
        <f t="shared" si="3"/>
        <v/>
      </c>
      <c r="AB171" s="82" t="str">
        <f t="shared" si="4"/>
        <v/>
      </c>
      <c r="AC171" s="82" t="str">
        <f t="shared" si="5"/>
        <v/>
      </c>
      <c r="AD171" s="82" t="str">
        <f t="shared" si="6"/>
        <v/>
      </c>
      <c r="AE171" s="83">
        <f t="shared" si="7"/>
        <v>0</v>
      </c>
      <c r="AF171" s="83">
        <f t="shared" si="8"/>
        <v>0</v>
      </c>
      <c r="AG171" s="79"/>
      <c r="AH171" s="78"/>
      <c r="AI171" s="78"/>
    </row>
    <row r="172" ht="15.75" customHeight="1">
      <c r="A172" s="78"/>
      <c r="B172" s="79"/>
      <c r="C172" s="78"/>
      <c r="D172" s="78"/>
      <c r="E172" s="78"/>
      <c r="F172" s="78"/>
      <c r="G172" s="78"/>
      <c r="H172" s="78"/>
      <c r="I172" s="78"/>
      <c r="J172" s="78"/>
      <c r="K172" s="78"/>
      <c r="L172" s="79"/>
      <c r="M172" s="78"/>
      <c r="N172" s="78"/>
      <c r="O172" s="78"/>
      <c r="P172" s="78"/>
      <c r="Q172" s="78"/>
      <c r="R172" s="78"/>
      <c r="S172" s="80" t="str">
        <f t="shared" si="1"/>
        <v/>
      </c>
      <c r="T172" s="80" t="str">
        <f t="shared" si="2"/>
        <v/>
      </c>
      <c r="U172" s="81"/>
      <c r="V172" s="81"/>
      <c r="W172" s="81"/>
      <c r="X172" s="81"/>
      <c r="Y172" s="81"/>
      <c r="Z172" s="81"/>
      <c r="AA172" s="82" t="str">
        <f t="shared" si="3"/>
        <v/>
      </c>
      <c r="AB172" s="82" t="str">
        <f t="shared" si="4"/>
        <v/>
      </c>
      <c r="AC172" s="82" t="str">
        <f t="shared" si="5"/>
        <v/>
      </c>
      <c r="AD172" s="82" t="str">
        <f t="shared" si="6"/>
        <v/>
      </c>
      <c r="AE172" s="83">
        <f t="shared" si="7"/>
        <v>0</v>
      </c>
      <c r="AF172" s="83">
        <f t="shared" si="8"/>
        <v>0</v>
      </c>
      <c r="AG172" s="79"/>
      <c r="AH172" s="78"/>
      <c r="AI172" s="78"/>
    </row>
    <row r="173" ht="15.75" customHeight="1">
      <c r="A173" s="78"/>
      <c r="B173" s="79"/>
      <c r="C173" s="78"/>
      <c r="D173" s="78"/>
      <c r="E173" s="78"/>
      <c r="F173" s="78"/>
      <c r="G173" s="78"/>
      <c r="H173" s="78"/>
      <c r="I173" s="78"/>
      <c r="J173" s="78"/>
      <c r="K173" s="78"/>
      <c r="L173" s="79"/>
      <c r="M173" s="78"/>
      <c r="N173" s="78"/>
      <c r="O173" s="78"/>
      <c r="P173" s="78"/>
      <c r="Q173" s="78"/>
      <c r="R173" s="78"/>
      <c r="S173" s="80" t="str">
        <f t="shared" si="1"/>
        <v/>
      </c>
      <c r="T173" s="80" t="str">
        <f t="shared" si="2"/>
        <v/>
      </c>
      <c r="U173" s="81"/>
      <c r="V173" s="81"/>
      <c r="W173" s="81"/>
      <c r="X173" s="81"/>
      <c r="Y173" s="81"/>
      <c r="Z173" s="81"/>
      <c r="AA173" s="82" t="str">
        <f t="shared" si="3"/>
        <v/>
      </c>
      <c r="AB173" s="82" t="str">
        <f t="shared" si="4"/>
        <v/>
      </c>
      <c r="AC173" s="82" t="str">
        <f t="shared" si="5"/>
        <v/>
      </c>
      <c r="AD173" s="82" t="str">
        <f t="shared" si="6"/>
        <v/>
      </c>
      <c r="AE173" s="83">
        <f t="shared" si="7"/>
        <v>0</v>
      </c>
      <c r="AF173" s="83">
        <f t="shared" si="8"/>
        <v>0</v>
      </c>
      <c r="AG173" s="79"/>
      <c r="AH173" s="78"/>
      <c r="AI173" s="78"/>
    </row>
    <row r="174" ht="15.75" customHeight="1">
      <c r="A174" s="78"/>
      <c r="B174" s="79"/>
      <c r="C174" s="78"/>
      <c r="D174" s="78"/>
      <c r="E174" s="78"/>
      <c r="F174" s="78"/>
      <c r="G174" s="78"/>
      <c r="H174" s="78"/>
      <c r="I174" s="78"/>
      <c r="J174" s="78"/>
      <c r="K174" s="78"/>
      <c r="L174" s="79"/>
      <c r="M174" s="78"/>
      <c r="N174" s="78"/>
      <c r="O174" s="78"/>
      <c r="P174" s="78"/>
      <c r="Q174" s="78"/>
      <c r="R174" s="78"/>
      <c r="S174" s="80" t="str">
        <f t="shared" si="1"/>
        <v/>
      </c>
      <c r="T174" s="80" t="str">
        <f t="shared" si="2"/>
        <v/>
      </c>
      <c r="U174" s="81"/>
      <c r="V174" s="81"/>
      <c r="W174" s="81"/>
      <c r="X174" s="81"/>
      <c r="Y174" s="81"/>
      <c r="Z174" s="81"/>
      <c r="AA174" s="82" t="str">
        <f t="shared" si="3"/>
        <v/>
      </c>
      <c r="AB174" s="82" t="str">
        <f t="shared" si="4"/>
        <v/>
      </c>
      <c r="AC174" s="82" t="str">
        <f t="shared" si="5"/>
        <v/>
      </c>
      <c r="AD174" s="82" t="str">
        <f t="shared" si="6"/>
        <v/>
      </c>
      <c r="AE174" s="83">
        <f t="shared" si="7"/>
        <v>0</v>
      </c>
      <c r="AF174" s="83">
        <f t="shared" si="8"/>
        <v>0</v>
      </c>
      <c r="AG174" s="79"/>
      <c r="AH174" s="78"/>
      <c r="AI174" s="78"/>
    </row>
    <row r="175" ht="15.75" customHeight="1">
      <c r="A175" s="78"/>
      <c r="B175" s="79"/>
      <c r="C175" s="78"/>
      <c r="D175" s="78"/>
      <c r="E175" s="78"/>
      <c r="F175" s="78"/>
      <c r="G175" s="78"/>
      <c r="H175" s="78"/>
      <c r="I175" s="78"/>
      <c r="J175" s="78"/>
      <c r="K175" s="78"/>
      <c r="L175" s="79"/>
      <c r="M175" s="78"/>
      <c r="N175" s="78"/>
      <c r="O175" s="78"/>
      <c r="P175" s="78"/>
      <c r="Q175" s="78"/>
      <c r="R175" s="78"/>
      <c r="S175" s="80" t="str">
        <f t="shared" si="1"/>
        <v/>
      </c>
      <c r="T175" s="80" t="str">
        <f t="shared" si="2"/>
        <v/>
      </c>
      <c r="U175" s="81"/>
      <c r="V175" s="81"/>
      <c r="W175" s="81"/>
      <c r="X175" s="81"/>
      <c r="Y175" s="81"/>
      <c r="Z175" s="81"/>
      <c r="AA175" s="82" t="str">
        <f t="shared" si="3"/>
        <v/>
      </c>
      <c r="AB175" s="82" t="str">
        <f t="shared" si="4"/>
        <v/>
      </c>
      <c r="AC175" s="82" t="str">
        <f t="shared" si="5"/>
        <v/>
      </c>
      <c r="AD175" s="82" t="str">
        <f t="shared" si="6"/>
        <v/>
      </c>
      <c r="AE175" s="83">
        <f t="shared" si="7"/>
        <v>0</v>
      </c>
      <c r="AF175" s="83">
        <f t="shared" si="8"/>
        <v>0</v>
      </c>
      <c r="AG175" s="79"/>
      <c r="AH175" s="78"/>
      <c r="AI175" s="78"/>
    </row>
    <row r="176" ht="15.75" customHeight="1">
      <c r="A176" s="78"/>
      <c r="B176" s="79"/>
      <c r="C176" s="78"/>
      <c r="D176" s="78"/>
      <c r="E176" s="78"/>
      <c r="F176" s="78"/>
      <c r="G176" s="78"/>
      <c r="H176" s="78"/>
      <c r="I176" s="78"/>
      <c r="J176" s="78"/>
      <c r="K176" s="78"/>
      <c r="L176" s="79"/>
      <c r="M176" s="78"/>
      <c r="N176" s="78"/>
      <c r="O176" s="78"/>
      <c r="P176" s="78"/>
      <c r="Q176" s="78"/>
      <c r="R176" s="78"/>
      <c r="S176" s="80" t="str">
        <f t="shared" si="1"/>
        <v/>
      </c>
      <c r="T176" s="80" t="str">
        <f t="shared" si="2"/>
        <v/>
      </c>
      <c r="U176" s="81"/>
      <c r="V176" s="81"/>
      <c r="W176" s="81"/>
      <c r="X176" s="81"/>
      <c r="Y176" s="81"/>
      <c r="Z176" s="81"/>
      <c r="AA176" s="82" t="str">
        <f t="shared" si="3"/>
        <v/>
      </c>
      <c r="AB176" s="82" t="str">
        <f t="shared" si="4"/>
        <v/>
      </c>
      <c r="AC176" s="82" t="str">
        <f t="shared" si="5"/>
        <v/>
      </c>
      <c r="AD176" s="82" t="str">
        <f t="shared" si="6"/>
        <v/>
      </c>
      <c r="AE176" s="83">
        <f t="shared" si="7"/>
        <v>0</v>
      </c>
      <c r="AF176" s="83">
        <f t="shared" si="8"/>
        <v>0</v>
      </c>
      <c r="AG176" s="79"/>
      <c r="AH176" s="78"/>
      <c r="AI176" s="78"/>
    </row>
    <row r="177" ht="15.75" customHeight="1">
      <c r="A177" s="78"/>
      <c r="B177" s="79"/>
      <c r="C177" s="78"/>
      <c r="D177" s="78"/>
      <c r="E177" s="78"/>
      <c r="F177" s="78"/>
      <c r="G177" s="78"/>
      <c r="H177" s="78"/>
      <c r="I177" s="78"/>
      <c r="J177" s="78"/>
      <c r="K177" s="78"/>
      <c r="L177" s="79"/>
      <c r="M177" s="78"/>
      <c r="N177" s="78"/>
      <c r="O177" s="78"/>
      <c r="P177" s="78"/>
      <c r="Q177" s="78"/>
      <c r="R177" s="78"/>
      <c r="S177" s="80" t="str">
        <f t="shared" si="1"/>
        <v/>
      </c>
      <c r="T177" s="80" t="str">
        <f t="shared" si="2"/>
        <v/>
      </c>
      <c r="U177" s="81"/>
      <c r="V177" s="81"/>
      <c r="W177" s="81"/>
      <c r="X177" s="81"/>
      <c r="Y177" s="81"/>
      <c r="Z177" s="81"/>
      <c r="AA177" s="82" t="str">
        <f t="shared" si="3"/>
        <v/>
      </c>
      <c r="AB177" s="82" t="str">
        <f t="shared" si="4"/>
        <v/>
      </c>
      <c r="AC177" s="82" t="str">
        <f t="shared" si="5"/>
        <v/>
      </c>
      <c r="AD177" s="82" t="str">
        <f t="shared" si="6"/>
        <v/>
      </c>
      <c r="AE177" s="83">
        <f t="shared" si="7"/>
        <v>0</v>
      </c>
      <c r="AF177" s="83">
        <f t="shared" si="8"/>
        <v>0</v>
      </c>
      <c r="AG177" s="79"/>
      <c r="AH177" s="78"/>
      <c r="AI177" s="78"/>
    </row>
    <row r="178" ht="15.75" customHeight="1">
      <c r="A178" s="78"/>
      <c r="B178" s="79"/>
      <c r="C178" s="78"/>
      <c r="D178" s="78"/>
      <c r="E178" s="78"/>
      <c r="F178" s="78"/>
      <c r="G178" s="78"/>
      <c r="H178" s="78"/>
      <c r="I178" s="78"/>
      <c r="J178" s="78"/>
      <c r="K178" s="78"/>
      <c r="L178" s="79"/>
      <c r="M178" s="78"/>
      <c r="N178" s="78"/>
      <c r="O178" s="78"/>
      <c r="P178" s="78"/>
      <c r="Q178" s="78"/>
      <c r="R178" s="78"/>
      <c r="S178" s="80" t="str">
        <f t="shared" si="1"/>
        <v/>
      </c>
      <c r="T178" s="80" t="str">
        <f t="shared" si="2"/>
        <v/>
      </c>
      <c r="U178" s="81"/>
      <c r="V178" s="81"/>
      <c r="W178" s="81"/>
      <c r="X178" s="81"/>
      <c r="Y178" s="81"/>
      <c r="Z178" s="81"/>
      <c r="AA178" s="82" t="str">
        <f t="shared" si="3"/>
        <v/>
      </c>
      <c r="AB178" s="82" t="str">
        <f t="shared" si="4"/>
        <v/>
      </c>
      <c r="AC178" s="82" t="str">
        <f t="shared" si="5"/>
        <v/>
      </c>
      <c r="AD178" s="82" t="str">
        <f t="shared" si="6"/>
        <v/>
      </c>
      <c r="AE178" s="83">
        <f t="shared" si="7"/>
        <v>0</v>
      </c>
      <c r="AF178" s="83">
        <f t="shared" si="8"/>
        <v>0</v>
      </c>
      <c r="AG178" s="79"/>
      <c r="AH178" s="78"/>
      <c r="AI178" s="78"/>
    </row>
    <row r="179" ht="15.75" customHeight="1">
      <c r="A179" s="78"/>
      <c r="B179" s="79"/>
      <c r="C179" s="78"/>
      <c r="D179" s="78"/>
      <c r="E179" s="78"/>
      <c r="F179" s="78"/>
      <c r="G179" s="78"/>
      <c r="H179" s="78"/>
      <c r="I179" s="78"/>
      <c r="J179" s="78"/>
      <c r="K179" s="78"/>
      <c r="L179" s="79"/>
      <c r="M179" s="78"/>
      <c r="N179" s="78"/>
      <c r="O179" s="78"/>
      <c r="P179" s="78"/>
      <c r="Q179" s="78"/>
      <c r="R179" s="78"/>
      <c r="S179" s="80" t="str">
        <f t="shared" si="1"/>
        <v/>
      </c>
      <c r="T179" s="80" t="str">
        <f t="shared" si="2"/>
        <v/>
      </c>
      <c r="U179" s="81"/>
      <c r="V179" s="81"/>
      <c r="W179" s="81"/>
      <c r="X179" s="81"/>
      <c r="Y179" s="81"/>
      <c r="Z179" s="81"/>
      <c r="AA179" s="82" t="str">
        <f t="shared" si="3"/>
        <v/>
      </c>
      <c r="AB179" s="82" t="str">
        <f t="shared" si="4"/>
        <v/>
      </c>
      <c r="AC179" s="82" t="str">
        <f t="shared" si="5"/>
        <v/>
      </c>
      <c r="AD179" s="82" t="str">
        <f t="shared" si="6"/>
        <v/>
      </c>
      <c r="AE179" s="83">
        <f t="shared" si="7"/>
        <v>0</v>
      </c>
      <c r="AF179" s="83">
        <f t="shared" si="8"/>
        <v>0</v>
      </c>
      <c r="AG179" s="79"/>
      <c r="AH179" s="78"/>
      <c r="AI179" s="78"/>
    </row>
    <row r="180" ht="15.75" customHeight="1">
      <c r="A180" s="78"/>
      <c r="B180" s="79"/>
      <c r="C180" s="78"/>
      <c r="D180" s="78"/>
      <c r="E180" s="78"/>
      <c r="F180" s="78"/>
      <c r="G180" s="78"/>
      <c r="H180" s="78"/>
      <c r="I180" s="78"/>
      <c r="J180" s="78"/>
      <c r="K180" s="78"/>
      <c r="L180" s="79"/>
      <c r="M180" s="78"/>
      <c r="N180" s="78"/>
      <c r="O180" s="78"/>
      <c r="P180" s="78"/>
      <c r="Q180" s="78"/>
      <c r="R180" s="78"/>
      <c r="S180" s="80" t="str">
        <f t="shared" si="1"/>
        <v/>
      </c>
      <c r="T180" s="80" t="str">
        <f t="shared" si="2"/>
        <v/>
      </c>
      <c r="U180" s="81"/>
      <c r="V180" s="81"/>
      <c r="W180" s="81"/>
      <c r="X180" s="81"/>
      <c r="Y180" s="81"/>
      <c r="Z180" s="81"/>
      <c r="AA180" s="82" t="str">
        <f t="shared" si="3"/>
        <v/>
      </c>
      <c r="AB180" s="82" t="str">
        <f t="shared" si="4"/>
        <v/>
      </c>
      <c r="AC180" s="82" t="str">
        <f t="shared" si="5"/>
        <v/>
      </c>
      <c r="AD180" s="82" t="str">
        <f t="shared" si="6"/>
        <v/>
      </c>
      <c r="AE180" s="83">
        <f t="shared" si="7"/>
        <v>0</v>
      </c>
      <c r="AF180" s="83">
        <f t="shared" si="8"/>
        <v>0</v>
      </c>
      <c r="AG180" s="79"/>
      <c r="AH180" s="78"/>
      <c r="AI180" s="78"/>
    </row>
    <row r="181" ht="15.75" customHeight="1">
      <c r="A181" s="78"/>
      <c r="B181" s="79"/>
      <c r="C181" s="78"/>
      <c r="D181" s="78"/>
      <c r="E181" s="78"/>
      <c r="F181" s="78"/>
      <c r="G181" s="78"/>
      <c r="H181" s="78"/>
      <c r="I181" s="78"/>
      <c r="J181" s="78"/>
      <c r="K181" s="78"/>
      <c r="L181" s="79"/>
      <c r="M181" s="78"/>
      <c r="N181" s="78"/>
      <c r="O181" s="78"/>
      <c r="P181" s="78"/>
      <c r="Q181" s="78"/>
      <c r="R181" s="78"/>
      <c r="S181" s="80" t="str">
        <f t="shared" si="1"/>
        <v/>
      </c>
      <c r="T181" s="80" t="str">
        <f t="shared" si="2"/>
        <v/>
      </c>
      <c r="U181" s="81"/>
      <c r="V181" s="81"/>
      <c r="W181" s="81"/>
      <c r="X181" s="81"/>
      <c r="Y181" s="81"/>
      <c r="Z181" s="81"/>
      <c r="AA181" s="82" t="str">
        <f t="shared" si="3"/>
        <v/>
      </c>
      <c r="AB181" s="82" t="str">
        <f t="shared" si="4"/>
        <v/>
      </c>
      <c r="AC181" s="82" t="str">
        <f t="shared" si="5"/>
        <v/>
      </c>
      <c r="AD181" s="82" t="str">
        <f t="shared" si="6"/>
        <v/>
      </c>
      <c r="AE181" s="83">
        <f t="shared" si="7"/>
        <v>0</v>
      </c>
      <c r="AF181" s="83">
        <f t="shared" si="8"/>
        <v>0</v>
      </c>
      <c r="AG181" s="79"/>
      <c r="AH181" s="78"/>
      <c r="AI181" s="78"/>
    </row>
    <row r="182" ht="15.75" customHeight="1">
      <c r="A182" s="78"/>
      <c r="B182" s="79"/>
      <c r="C182" s="78"/>
      <c r="D182" s="78"/>
      <c r="E182" s="78"/>
      <c r="F182" s="78"/>
      <c r="G182" s="78"/>
      <c r="H182" s="78"/>
      <c r="I182" s="78"/>
      <c r="J182" s="78"/>
      <c r="K182" s="78"/>
      <c r="L182" s="79"/>
      <c r="M182" s="78"/>
      <c r="N182" s="78"/>
      <c r="O182" s="78"/>
      <c r="P182" s="78"/>
      <c r="Q182" s="78"/>
      <c r="R182" s="78"/>
      <c r="S182" s="80" t="str">
        <f t="shared" si="1"/>
        <v/>
      </c>
      <c r="T182" s="80" t="str">
        <f t="shared" si="2"/>
        <v/>
      </c>
      <c r="U182" s="81"/>
      <c r="V182" s="81"/>
      <c r="W182" s="81"/>
      <c r="X182" s="81"/>
      <c r="Y182" s="81"/>
      <c r="Z182" s="81"/>
      <c r="AA182" s="82" t="str">
        <f t="shared" si="3"/>
        <v/>
      </c>
      <c r="AB182" s="82" t="str">
        <f t="shared" si="4"/>
        <v/>
      </c>
      <c r="AC182" s="82" t="str">
        <f t="shared" si="5"/>
        <v/>
      </c>
      <c r="AD182" s="82" t="str">
        <f t="shared" si="6"/>
        <v/>
      </c>
      <c r="AE182" s="83">
        <f t="shared" si="7"/>
        <v>0</v>
      </c>
      <c r="AF182" s="83">
        <f t="shared" si="8"/>
        <v>0</v>
      </c>
      <c r="AG182" s="79"/>
      <c r="AH182" s="78"/>
      <c r="AI182" s="78"/>
    </row>
    <row r="183" ht="15.75" customHeight="1">
      <c r="A183" s="78"/>
      <c r="B183" s="79"/>
      <c r="C183" s="78"/>
      <c r="D183" s="78"/>
      <c r="E183" s="78"/>
      <c r="F183" s="78"/>
      <c r="G183" s="78"/>
      <c r="H183" s="78"/>
      <c r="I183" s="78"/>
      <c r="J183" s="78"/>
      <c r="K183" s="78"/>
      <c r="L183" s="79"/>
      <c r="M183" s="78"/>
      <c r="N183" s="78"/>
      <c r="O183" s="78"/>
      <c r="P183" s="78"/>
      <c r="Q183" s="78"/>
      <c r="R183" s="78"/>
      <c r="S183" s="80" t="str">
        <f t="shared" si="1"/>
        <v/>
      </c>
      <c r="T183" s="80" t="str">
        <f t="shared" si="2"/>
        <v/>
      </c>
      <c r="U183" s="81"/>
      <c r="V183" s="81"/>
      <c r="W183" s="81"/>
      <c r="X183" s="81"/>
      <c r="Y183" s="81"/>
      <c r="Z183" s="81"/>
      <c r="AA183" s="82" t="str">
        <f t="shared" si="3"/>
        <v/>
      </c>
      <c r="AB183" s="82" t="str">
        <f t="shared" si="4"/>
        <v/>
      </c>
      <c r="AC183" s="82" t="str">
        <f t="shared" si="5"/>
        <v/>
      </c>
      <c r="AD183" s="82" t="str">
        <f t="shared" si="6"/>
        <v/>
      </c>
      <c r="AE183" s="83">
        <f t="shared" si="7"/>
        <v>0</v>
      </c>
      <c r="AF183" s="83">
        <f t="shared" si="8"/>
        <v>0</v>
      </c>
      <c r="AG183" s="79"/>
      <c r="AH183" s="78"/>
      <c r="AI183" s="78"/>
    </row>
    <row r="184" ht="15.75" customHeight="1">
      <c r="A184" s="78"/>
      <c r="B184" s="79"/>
      <c r="C184" s="78"/>
      <c r="D184" s="78"/>
      <c r="E184" s="78"/>
      <c r="F184" s="78"/>
      <c r="G184" s="78"/>
      <c r="H184" s="78"/>
      <c r="I184" s="78"/>
      <c r="J184" s="78"/>
      <c r="K184" s="78"/>
      <c r="L184" s="79"/>
      <c r="M184" s="78"/>
      <c r="N184" s="78"/>
      <c r="O184" s="78"/>
      <c r="P184" s="78"/>
      <c r="Q184" s="78"/>
      <c r="R184" s="78"/>
      <c r="S184" s="80" t="str">
        <f t="shared" si="1"/>
        <v/>
      </c>
      <c r="T184" s="80" t="str">
        <f t="shared" si="2"/>
        <v/>
      </c>
      <c r="U184" s="81"/>
      <c r="V184" s="81"/>
      <c r="W184" s="81"/>
      <c r="X184" s="81"/>
      <c r="Y184" s="81"/>
      <c r="Z184" s="81"/>
      <c r="AA184" s="82" t="str">
        <f t="shared" si="3"/>
        <v/>
      </c>
      <c r="AB184" s="82" t="str">
        <f t="shared" si="4"/>
        <v/>
      </c>
      <c r="AC184" s="82" t="str">
        <f t="shared" si="5"/>
        <v/>
      </c>
      <c r="AD184" s="82" t="str">
        <f t="shared" si="6"/>
        <v/>
      </c>
      <c r="AE184" s="83">
        <f t="shared" si="7"/>
        <v>0</v>
      </c>
      <c r="AF184" s="83">
        <f t="shared" si="8"/>
        <v>0</v>
      </c>
      <c r="AG184" s="79"/>
      <c r="AH184" s="78"/>
      <c r="AI184" s="78"/>
    </row>
    <row r="185" ht="15.75" customHeight="1">
      <c r="A185" s="78"/>
      <c r="B185" s="79"/>
      <c r="C185" s="78"/>
      <c r="D185" s="78"/>
      <c r="E185" s="78"/>
      <c r="F185" s="78"/>
      <c r="G185" s="78"/>
      <c r="H185" s="78"/>
      <c r="I185" s="78"/>
      <c r="J185" s="78"/>
      <c r="K185" s="78"/>
      <c r="L185" s="79"/>
      <c r="M185" s="78"/>
      <c r="N185" s="78"/>
      <c r="O185" s="78"/>
      <c r="P185" s="78"/>
      <c r="Q185" s="78"/>
      <c r="R185" s="78"/>
      <c r="S185" s="80" t="str">
        <f t="shared" si="1"/>
        <v/>
      </c>
      <c r="T185" s="80" t="str">
        <f t="shared" si="2"/>
        <v/>
      </c>
      <c r="U185" s="81"/>
      <c r="V185" s="81"/>
      <c r="W185" s="81"/>
      <c r="X185" s="81"/>
      <c r="Y185" s="81"/>
      <c r="Z185" s="81"/>
      <c r="AA185" s="82" t="str">
        <f t="shared" si="3"/>
        <v/>
      </c>
      <c r="AB185" s="82" t="str">
        <f t="shared" si="4"/>
        <v/>
      </c>
      <c r="AC185" s="82" t="str">
        <f t="shared" si="5"/>
        <v/>
      </c>
      <c r="AD185" s="82" t="str">
        <f t="shared" si="6"/>
        <v/>
      </c>
      <c r="AE185" s="83">
        <f t="shared" si="7"/>
        <v>0</v>
      </c>
      <c r="AF185" s="83">
        <f t="shared" si="8"/>
        <v>0</v>
      </c>
      <c r="AG185" s="79"/>
      <c r="AH185" s="78"/>
      <c r="AI185" s="78"/>
    </row>
    <row r="186" ht="15.75" customHeight="1">
      <c r="A186" s="78"/>
      <c r="B186" s="79"/>
      <c r="C186" s="78"/>
      <c r="D186" s="78"/>
      <c r="E186" s="78"/>
      <c r="F186" s="78"/>
      <c r="G186" s="78"/>
      <c r="H186" s="78"/>
      <c r="I186" s="78"/>
      <c r="J186" s="78"/>
      <c r="K186" s="78"/>
      <c r="L186" s="79"/>
      <c r="M186" s="78"/>
      <c r="N186" s="78"/>
      <c r="O186" s="78"/>
      <c r="P186" s="78"/>
      <c r="Q186" s="78"/>
      <c r="R186" s="78"/>
      <c r="S186" s="80" t="str">
        <f t="shared" si="1"/>
        <v/>
      </c>
      <c r="T186" s="80" t="str">
        <f t="shared" si="2"/>
        <v/>
      </c>
      <c r="U186" s="81"/>
      <c r="V186" s="81"/>
      <c r="W186" s="81"/>
      <c r="X186" s="81"/>
      <c r="Y186" s="81"/>
      <c r="Z186" s="81"/>
      <c r="AA186" s="82" t="str">
        <f t="shared" si="3"/>
        <v/>
      </c>
      <c r="AB186" s="82" t="str">
        <f t="shared" si="4"/>
        <v/>
      </c>
      <c r="AC186" s="82" t="str">
        <f t="shared" si="5"/>
        <v/>
      </c>
      <c r="AD186" s="82" t="str">
        <f t="shared" si="6"/>
        <v/>
      </c>
      <c r="AE186" s="83">
        <f t="shared" si="7"/>
        <v>0</v>
      </c>
      <c r="AF186" s="83">
        <f t="shared" si="8"/>
        <v>0</v>
      </c>
      <c r="AG186" s="79"/>
      <c r="AH186" s="78"/>
      <c r="AI186" s="78"/>
    </row>
    <row r="187" ht="15.75" customHeight="1">
      <c r="A187" s="78"/>
      <c r="B187" s="79"/>
      <c r="C187" s="78"/>
      <c r="D187" s="78"/>
      <c r="E187" s="78"/>
      <c r="F187" s="78"/>
      <c r="G187" s="78"/>
      <c r="H187" s="78"/>
      <c r="I187" s="78"/>
      <c r="J187" s="78"/>
      <c r="K187" s="78"/>
      <c r="L187" s="79"/>
      <c r="M187" s="78"/>
      <c r="N187" s="78"/>
      <c r="O187" s="78"/>
      <c r="P187" s="78"/>
      <c r="Q187" s="78"/>
      <c r="R187" s="78"/>
      <c r="S187" s="80" t="str">
        <f t="shared" si="1"/>
        <v/>
      </c>
      <c r="T187" s="80" t="str">
        <f t="shared" si="2"/>
        <v/>
      </c>
      <c r="U187" s="81"/>
      <c r="V187" s="81"/>
      <c r="W187" s="81"/>
      <c r="X187" s="81"/>
      <c r="Y187" s="81"/>
      <c r="Z187" s="81"/>
      <c r="AA187" s="82" t="str">
        <f t="shared" si="3"/>
        <v/>
      </c>
      <c r="AB187" s="82" t="str">
        <f t="shared" si="4"/>
        <v/>
      </c>
      <c r="AC187" s="82" t="str">
        <f t="shared" si="5"/>
        <v/>
      </c>
      <c r="AD187" s="82" t="str">
        <f t="shared" si="6"/>
        <v/>
      </c>
      <c r="AE187" s="83">
        <f t="shared" si="7"/>
        <v>0</v>
      </c>
      <c r="AF187" s="83">
        <f t="shared" si="8"/>
        <v>0</v>
      </c>
      <c r="AG187" s="79"/>
      <c r="AH187" s="78"/>
      <c r="AI187" s="78"/>
    </row>
    <row r="188" ht="15.75" customHeight="1">
      <c r="A188" s="78"/>
      <c r="B188" s="79"/>
      <c r="C188" s="78"/>
      <c r="D188" s="78"/>
      <c r="E188" s="78"/>
      <c r="F188" s="78"/>
      <c r="G188" s="78"/>
      <c r="H188" s="78"/>
      <c r="I188" s="78"/>
      <c r="J188" s="78"/>
      <c r="K188" s="78"/>
      <c r="L188" s="79"/>
      <c r="M188" s="78"/>
      <c r="N188" s="78"/>
      <c r="O188" s="78"/>
      <c r="P188" s="78"/>
      <c r="Q188" s="78"/>
      <c r="R188" s="78"/>
      <c r="S188" s="80" t="str">
        <f t="shared" si="1"/>
        <v/>
      </c>
      <c r="T188" s="80" t="str">
        <f t="shared" si="2"/>
        <v/>
      </c>
      <c r="U188" s="81"/>
      <c r="V188" s="81"/>
      <c r="W188" s="81"/>
      <c r="X188" s="81"/>
      <c r="Y188" s="81"/>
      <c r="Z188" s="81"/>
      <c r="AA188" s="82" t="str">
        <f t="shared" si="3"/>
        <v/>
      </c>
      <c r="AB188" s="82" t="str">
        <f t="shared" si="4"/>
        <v/>
      </c>
      <c r="AC188" s="82" t="str">
        <f t="shared" si="5"/>
        <v/>
      </c>
      <c r="AD188" s="82" t="str">
        <f t="shared" si="6"/>
        <v/>
      </c>
      <c r="AE188" s="83">
        <f t="shared" si="7"/>
        <v>0</v>
      </c>
      <c r="AF188" s="83">
        <f t="shared" si="8"/>
        <v>0</v>
      </c>
      <c r="AG188" s="79"/>
      <c r="AH188" s="78"/>
      <c r="AI188" s="78"/>
    </row>
    <row r="189" ht="15.75" customHeight="1">
      <c r="A189" s="78"/>
      <c r="B189" s="79"/>
      <c r="C189" s="78"/>
      <c r="D189" s="78"/>
      <c r="E189" s="78"/>
      <c r="F189" s="78"/>
      <c r="G189" s="78"/>
      <c r="H189" s="78"/>
      <c r="I189" s="78"/>
      <c r="J189" s="78"/>
      <c r="K189" s="78"/>
      <c r="L189" s="79"/>
      <c r="M189" s="78"/>
      <c r="N189" s="78"/>
      <c r="O189" s="78"/>
      <c r="P189" s="78"/>
      <c r="Q189" s="78"/>
      <c r="R189" s="78"/>
      <c r="S189" s="80" t="str">
        <f t="shared" si="1"/>
        <v/>
      </c>
      <c r="T189" s="80" t="str">
        <f t="shared" si="2"/>
        <v/>
      </c>
      <c r="U189" s="81"/>
      <c r="V189" s="81"/>
      <c r="W189" s="81"/>
      <c r="X189" s="81"/>
      <c r="Y189" s="81"/>
      <c r="Z189" s="81"/>
      <c r="AA189" s="82" t="str">
        <f t="shared" si="3"/>
        <v/>
      </c>
      <c r="AB189" s="82" t="str">
        <f t="shared" si="4"/>
        <v/>
      </c>
      <c r="AC189" s="82" t="str">
        <f t="shared" si="5"/>
        <v/>
      </c>
      <c r="AD189" s="82" t="str">
        <f t="shared" si="6"/>
        <v/>
      </c>
      <c r="AE189" s="83">
        <f t="shared" si="7"/>
        <v>0</v>
      </c>
      <c r="AF189" s="83">
        <f t="shared" si="8"/>
        <v>0</v>
      </c>
      <c r="AG189" s="79"/>
      <c r="AH189" s="78"/>
      <c r="AI189" s="78"/>
    </row>
    <row r="190" ht="15.75" customHeight="1">
      <c r="A190" s="78"/>
      <c r="B190" s="79"/>
      <c r="C190" s="78"/>
      <c r="D190" s="78"/>
      <c r="E190" s="78"/>
      <c r="F190" s="78"/>
      <c r="G190" s="78"/>
      <c r="H190" s="78"/>
      <c r="I190" s="78"/>
      <c r="J190" s="78"/>
      <c r="K190" s="78"/>
      <c r="L190" s="79"/>
      <c r="M190" s="78"/>
      <c r="N190" s="78"/>
      <c r="O190" s="78"/>
      <c r="P190" s="78"/>
      <c r="Q190" s="78"/>
      <c r="R190" s="78"/>
      <c r="S190" s="80" t="str">
        <f t="shared" si="1"/>
        <v/>
      </c>
      <c r="T190" s="80" t="str">
        <f t="shared" si="2"/>
        <v/>
      </c>
      <c r="U190" s="81"/>
      <c r="V190" s="81"/>
      <c r="W190" s="81"/>
      <c r="X190" s="81"/>
      <c r="Y190" s="81"/>
      <c r="Z190" s="81"/>
      <c r="AA190" s="82" t="str">
        <f t="shared" si="3"/>
        <v/>
      </c>
      <c r="AB190" s="82" t="str">
        <f t="shared" si="4"/>
        <v/>
      </c>
      <c r="AC190" s="82" t="str">
        <f t="shared" si="5"/>
        <v/>
      </c>
      <c r="AD190" s="82" t="str">
        <f t="shared" si="6"/>
        <v/>
      </c>
      <c r="AE190" s="83">
        <f t="shared" si="7"/>
        <v>0</v>
      </c>
      <c r="AF190" s="83">
        <f t="shared" si="8"/>
        <v>0</v>
      </c>
      <c r="AG190" s="79"/>
      <c r="AH190" s="78"/>
      <c r="AI190" s="78"/>
    </row>
    <row r="191" ht="15.75" customHeight="1">
      <c r="A191" s="78"/>
      <c r="B191" s="79"/>
      <c r="C191" s="78"/>
      <c r="D191" s="78"/>
      <c r="E191" s="78"/>
      <c r="F191" s="78"/>
      <c r="G191" s="78"/>
      <c r="H191" s="78"/>
      <c r="I191" s="78"/>
      <c r="J191" s="78"/>
      <c r="K191" s="78"/>
      <c r="L191" s="79"/>
      <c r="M191" s="78"/>
      <c r="N191" s="78"/>
      <c r="O191" s="78"/>
      <c r="P191" s="78"/>
      <c r="Q191" s="78"/>
      <c r="R191" s="78"/>
      <c r="S191" s="80" t="str">
        <f t="shared" si="1"/>
        <v/>
      </c>
      <c r="T191" s="80" t="str">
        <f t="shared" si="2"/>
        <v/>
      </c>
      <c r="U191" s="81"/>
      <c r="V191" s="81"/>
      <c r="W191" s="81"/>
      <c r="X191" s="81"/>
      <c r="Y191" s="81"/>
      <c r="Z191" s="81"/>
      <c r="AA191" s="82" t="str">
        <f t="shared" si="3"/>
        <v/>
      </c>
      <c r="AB191" s="82" t="str">
        <f t="shared" si="4"/>
        <v/>
      </c>
      <c r="AC191" s="82" t="str">
        <f t="shared" si="5"/>
        <v/>
      </c>
      <c r="AD191" s="82" t="str">
        <f t="shared" si="6"/>
        <v/>
      </c>
      <c r="AE191" s="83">
        <f t="shared" si="7"/>
        <v>0</v>
      </c>
      <c r="AF191" s="83">
        <f t="shared" si="8"/>
        <v>0</v>
      </c>
      <c r="AG191" s="79"/>
      <c r="AH191" s="78"/>
      <c r="AI191" s="78"/>
    </row>
    <row r="192" ht="15.75" customHeight="1">
      <c r="A192" s="78"/>
      <c r="B192" s="79"/>
      <c r="C192" s="78"/>
      <c r="D192" s="78"/>
      <c r="E192" s="78"/>
      <c r="F192" s="78"/>
      <c r="G192" s="78"/>
      <c r="H192" s="78"/>
      <c r="I192" s="78"/>
      <c r="J192" s="78"/>
      <c r="K192" s="78"/>
      <c r="L192" s="79"/>
      <c r="M192" s="78"/>
      <c r="N192" s="78"/>
      <c r="O192" s="78"/>
      <c r="P192" s="78"/>
      <c r="Q192" s="78"/>
      <c r="R192" s="78"/>
      <c r="S192" s="80" t="str">
        <f t="shared" si="1"/>
        <v/>
      </c>
      <c r="T192" s="80" t="str">
        <f t="shared" si="2"/>
        <v/>
      </c>
      <c r="U192" s="81"/>
      <c r="V192" s="81"/>
      <c r="W192" s="81"/>
      <c r="X192" s="81"/>
      <c r="Y192" s="81"/>
      <c r="Z192" s="81"/>
      <c r="AA192" s="82" t="str">
        <f t="shared" si="3"/>
        <v/>
      </c>
      <c r="AB192" s="82" t="str">
        <f t="shared" si="4"/>
        <v/>
      </c>
      <c r="AC192" s="82" t="str">
        <f t="shared" si="5"/>
        <v/>
      </c>
      <c r="AD192" s="82" t="str">
        <f t="shared" si="6"/>
        <v/>
      </c>
      <c r="AE192" s="83">
        <f t="shared" si="7"/>
        <v>0</v>
      </c>
      <c r="AF192" s="83">
        <f t="shared" si="8"/>
        <v>0</v>
      </c>
      <c r="AG192" s="79"/>
      <c r="AH192" s="78"/>
      <c r="AI192" s="78"/>
    </row>
    <row r="193" ht="15.75" customHeight="1">
      <c r="A193" s="78"/>
      <c r="B193" s="79"/>
      <c r="C193" s="78"/>
      <c r="D193" s="78"/>
      <c r="E193" s="78"/>
      <c r="F193" s="78"/>
      <c r="G193" s="78"/>
      <c r="H193" s="78"/>
      <c r="I193" s="78"/>
      <c r="J193" s="78"/>
      <c r="K193" s="78"/>
      <c r="L193" s="79"/>
      <c r="M193" s="78"/>
      <c r="N193" s="78"/>
      <c r="O193" s="78"/>
      <c r="P193" s="78"/>
      <c r="Q193" s="78"/>
      <c r="R193" s="78"/>
      <c r="S193" s="80" t="str">
        <f t="shared" si="1"/>
        <v/>
      </c>
      <c r="T193" s="80" t="str">
        <f t="shared" si="2"/>
        <v/>
      </c>
      <c r="U193" s="81"/>
      <c r="V193" s="81"/>
      <c r="W193" s="81"/>
      <c r="X193" s="81"/>
      <c r="Y193" s="81"/>
      <c r="Z193" s="81"/>
      <c r="AA193" s="82" t="str">
        <f t="shared" si="3"/>
        <v/>
      </c>
      <c r="AB193" s="82" t="str">
        <f t="shared" si="4"/>
        <v/>
      </c>
      <c r="AC193" s="82" t="str">
        <f t="shared" si="5"/>
        <v/>
      </c>
      <c r="AD193" s="82" t="str">
        <f t="shared" si="6"/>
        <v/>
      </c>
      <c r="AE193" s="83">
        <f t="shared" si="7"/>
        <v>0</v>
      </c>
      <c r="AF193" s="83">
        <f t="shared" si="8"/>
        <v>0</v>
      </c>
      <c r="AG193" s="79"/>
      <c r="AH193" s="78"/>
      <c r="AI193" s="78"/>
    </row>
    <row r="194" ht="15.75" customHeight="1">
      <c r="A194" s="78"/>
      <c r="B194" s="79"/>
      <c r="C194" s="78"/>
      <c r="D194" s="78"/>
      <c r="E194" s="78"/>
      <c r="F194" s="78"/>
      <c r="G194" s="78"/>
      <c r="H194" s="78"/>
      <c r="I194" s="78"/>
      <c r="J194" s="78"/>
      <c r="K194" s="78"/>
      <c r="L194" s="79"/>
      <c r="M194" s="78"/>
      <c r="N194" s="78"/>
      <c r="O194" s="78"/>
      <c r="P194" s="78"/>
      <c r="Q194" s="78"/>
      <c r="R194" s="78"/>
      <c r="S194" s="80" t="str">
        <f t="shared" si="1"/>
        <v/>
      </c>
      <c r="T194" s="80" t="str">
        <f t="shared" si="2"/>
        <v/>
      </c>
      <c r="U194" s="81"/>
      <c r="V194" s="81"/>
      <c r="W194" s="81"/>
      <c r="X194" s="81"/>
      <c r="Y194" s="81"/>
      <c r="Z194" s="81"/>
      <c r="AA194" s="82" t="str">
        <f t="shared" si="3"/>
        <v/>
      </c>
      <c r="AB194" s="82" t="str">
        <f t="shared" si="4"/>
        <v/>
      </c>
      <c r="AC194" s="82" t="str">
        <f t="shared" si="5"/>
        <v/>
      </c>
      <c r="AD194" s="82" t="str">
        <f t="shared" si="6"/>
        <v/>
      </c>
      <c r="AE194" s="83">
        <f t="shared" si="7"/>
        <v>0</v>
      </c>
      <c r="AF194" s="83">
        <f t="shared" si="8"/>
        <v>0</v>
      </c>
      <c r="AG194" s="79"/>
      <c r="AH194" s="78"/>
      <c r="AI194" s="78"/>
    </row>
    <row r="195" ht="15.75" customHeight="1">
      <c r="A195" s="78"/>
      <c r="B195" s="79"/>
      <c r="C195" s="78"/>
      <c r="D195" s="78"/>
      <c r="E195" s="78"/>
      <c r="F195" s="78"/>
      <c r="G195" s="78"/>
      <c r="H195" s="78"/>
      <c r="I195" s="78"/>
      <c r="J195" s="78"/>
      <c r="K195" s="78"/>
      <c r="L195" s="79"/>
      <c r="M195" s="78"/>
      <c r="N195" s="78"/>
      <c r="O195" s="78"/>
      <c r="P195" s="78"/>
      <c r="Q195" s="78"/>
      <c r="R195" s="78"/>
      <c r="S195" s="80" t="str">
        <f t="shared" si="1"/>
        <v/>
      </c>
      <c r="T195" s="80" t="str">
        <f t="shared" si="2"/>
        <v/>
      </c>
      <c r="U195" s="81"/>
      <c r="V195" s="81"/>
      <c r="W195" s="81"/>
      <c r="X195" s="81"/>
      <c r="Y195" s="81"/>
      <c r="Z195" s="81"/>
      <c r="AA195" s="82" t="str">
        <f t="shared" si="3"/>
        <v/>
      </c>
      <c r="AB195" s="82" t="str">
        <f t="shared" si="4"/>
        <v/>
      </c>
      <c r="AC195" s="82" t="str">
        <f t="shared" si="5"/>
        <v/>
      </c>
      <c r="AD195" s="82" t="str">
        <f t="shared" si="6"/>
        <v/>
      </c>
      <c r="AE195" s="83">
        <f t="shared" si="7"/>
        <v>0</v>
      </c>
      <c r="AF195" s="83">
        <f t="shared" si="8"/>
        <v>0</v>
      </c>
      <c r="AG195" s="79"/>
      <c r="AH195" s="78"/>
      <c r="AI195" s="78"/>
    </row>
    <row r="196" ht="15.75" customHeight="1">
      <c r="A196" s="78"/>
      <c r="B196" s="79"/>
      <c r="C196" s="78"/>
      <c r="D196" s="78"/>
      <c r="E196" s="78"/>
      <c r="F196" s="78"/>
      <c r="G196" s="78"/>
      <c r="H196" s="78"/>
      <c r="I196" s="78"/>
      <c r="J196" s="78"/>
      <c r="K196" s="78"/>
      <c r="L196" s="79"/>
      <c r="M196" s="78"/>
      <c r="N196" s="78"/>
      <c r="O196" s="78"/>
      <c r="P196" s="78"/>
      <c r="Q196" s="78"/>
      <c r="R196" s="78"/>
      <c r="S196" s="80" t="str">
        <f t="shared" si="1"/>
        <v/>
      </c>
      <c r="T196" s="80" t="str">
        <f t="shared" si="2"/>
        <v/>
      </c>
      <c r="U196" s="81"/>
      <c r="V196" s="81"/>
      <c r="W196" s="81"/>
      <c r="X196" s="81"/>
      <c r="Y196" s="81"/>
      <c r="Z196" s="81"/>
      <c r="AA196" s="82" t="str">
        <f t="shared" si="3"/>
        <v/>
      </c>
      <c r="AB196" s="82" t="str">
        <f t="shared" si="4"/>
        <v/>
      </c>
      <c r="AC196" s="82" t="str">
        <f t="shared" si="5"/>
        <v/>
      </c>
      <c r="AD196" s="82" t="str">
        <f t="shared" si="6"/>
        <v/>
      </c>
      <c r="AE196" s="83">
        <f t="shared" si="7"/>
        <v>0</v>
      </c>
      <c r="AF196" s="83">
        <f t="shared" si="8"/>
        <v>0</v>
      </c>
      <c r="AG196" s="79"/>
      <c r="AH196" s="78"/>
      <c r="AI196" s="78"/>
    </row>
    <row r="197" ht="15.75" customHeight="1">
      <c r="A197" s="78"/>
      <c r="B197" s="79"/>
      <c r="C197" s="78"/>
      <c r="D197" s="78"/>
      <c r="E197" s="78"/>
      <c r="F197" s="78"/>
      <c r="G197" s="78"/>
      <c r="H197" s="78"/>
      <c r="I197" s="78"/>
      <c r="J197" s="78"/>
      <c r="K197" s="78"/>
      <c r="L197" s="79"/>
      <c r="M197" s="78"/>
      <c r="N197" s="78"/>
      <c r="O197" s="78"/>
      <c r="P197" s="78"/>
      <c r="Q197" s="78"/>
      <c r="R197" s="78"/>
      <c r="S197" s="80" t="str">
        <f t="shared" si="1"/>
        <v/>
      </c>
      <c r="T197" s="80" t="str">
        <f t="shared" si="2"/>
        <v/>
      </c>
      <c r="U197" s="81"/>
      <c r="V197" s="81"/>
      <c r="W197" s="81"/>
      <c r="X197" s="81"/>
      <c r="Y197" s="81"/>
      <c r="Z197" s="81"/>
      <c r="AA197" s="82" t="str">
        <f t="shared" si="3"/>
        <v/>
      </c>
      <c r="AB197" s="82" t="str">
        <f t="shared" si="4"/>
        <v/>
      </c>
      <c r="AC197" s="82" t="str">
        <f t="shared" si="5"/>
        <v/>
      </c>
      <c r="AD197" s="82" t="str">
        <f t="shared" si="6"/>
        <v/>
      </c>
      <c r="AE197" s="83">
        <f t="shared" si="7"/>
        <v>0</v>
      </c>
      <c r="AF197" s="83">
        <f t="shared" si="8"/>
        <v>0</v>
      </c>
      <c r="AG197" s="79"/>
      <c r="AH197" s="78"/>
      <c r="AI197" s="78"/>
    </row>
    <row r="198" ht="15.75" customHeight="1">
      <c r="A198" s="78"/>
      <c r="B198" s="79"/>
      <c r="C198" s="78"/>
      <c r="D198" s="78"/>
      <c r="E198" s="78"/>
      <c r="F198" s="78"/>
      <c r="G198" s="78"/>
      <c r="H198" s="78"/>
      <c r="I198" s="78"/>
      <c r="J198" s="78"/>
      <c r="K198" s="78"/>
      <c r="L198" s="79"/>
      <c r="M198" s="78"/>
      <c r="N198" s="78"/>
      <c r="O198" s="78"/>
      <c r="P198" s="78"/>
      <c r="Q198" s="78"/>
      <c r="R198" s="78"/>
      <c r="S198" s="80" t="str">
        <f t="shared" si="1"/>
        <v/>
      </c>
      <c r="T198" s="80" t="str">
        <f t="shared" si="2"/>
        <v/>
      </c>
      <c r="U198" s="81"/>
      <c r="V198" s="81"/>
      <c r="W198" s="81"/>
      <c r="X198" s="81"/>
      <c r="Y198" s="81"/>
      <c r="Z198" s="81"/>
      <c r="AA198" s="82" t="str">
        <f t="shared" si="3"/>
        <v/>
      </c>
      <c r="AB198" s="82" t="str">
        <f t="shared" si="4"/>
        <v/>
      </c>
      <c r="AC198" s="82" t="str">
        <f t="shared" si="5"/>
        <v/>
      </c>
      <c r="AD198" s="82" t="str">
        <f t="shared" si="6"/>
        <v/>
      </c>
      <c r="AE198" s="83">
        <f t="shared" si="7"/>
        <v>0</v>
      </c>
      <c r="AF198" s="83">
        <f t="shared" si="8"/>
        <v>0</v>
      </c>
      <c r="AG198" s="79"/>
      <c r="AH198" s="78"/>
      <c r="AI198" s="78"/>
    </row>
    <row r="199" ht="15.75" customHeight="1">
      <c r="A199" s="78"/>
      <c r="B199" s="79"/>
      <c r="C199" s="78"/>
      <c r="D199" s="78"/>
      <c r="E199" s="78"/>
      <c r="F199" s="78"/>
      <c r="G199" s="78"/>
      <c r="H199" s="78"/>
      <c r="I199" s="78"/>
      <c r="J199" s="78"/>
      <c r="K199" s="78"/>
      <c r="L199" s="79"/>
      <c r="M199" s="78"/>
      <c r="N199" s="78"/>
      <c r="O199" s="78"/>
      <c r="P199" s="78"/>
      <c r="Q199" s="78"/>
      <c r="R199" s="78"/>
      <c r="S199" s="80" t="str">
        <f t="shared" si="1"/>
        <v/>
      </c>
      <c r="T199" s="80" t="str">
        <f t="shared" si="2"/>
        <v/>
      </c>
      <c r="U199" s="81"/>
      <c r="V199" s="81"/>
      <c r="W199" s="81"/>
      <c r="X199" s="81"/>
      <c r="Y199" s="81"/>
      <c r="Z199" s="81"/>
      <c r="AA199" s="82" t="str">
        <f t="shared" si="3"/>
        <v/>
      </c>
      <c r="AB199" s="82" t="str">
        <f t="shared" si="4"/>
        <v/>
      </c>
      <c r="AC199" s="82" t="str">
        <f t="shared" si="5"/>
        <v/>
      </c>
      <c r="AD199" s="82" t="str">
        <f t="shared" si="6"/>
        <v/>
      </c>
      <c r="AE199" s="83">
        <f t="shared" si="7"/>
        <v>0</v>
      </c>
      <c r="AF199" s="83">
        <f t="shared" si="8"/>
        <v>0</v>
      </c>
      <c r="AG199" s="79"/>
      <c r="AH199" s="78"/>
      <c r="AI199" s="78"/>
    </row>
    <row r="200" ht="15.75" customHeight="1">
      <c r="A200" s="78"/>
      <c r="B200" s="79"/>
      <c r="C200" s="78"/>
      <c r="D200" s="78"/>
      <c r="E200" s="78"/>
      <c r="F200" s="78"/>
      <c r="G200" s="78"/>
      <c r="H200" s="78"/>
      <c r="I200" s="78"/>
      <c r="J200" s="78"/>
      <c r="K200" s="78"/>
      <c r="L200" s="79"/>
      <c r="M200" s="78"/>
      <c r="N200" s="78"/>
      <c r="O200" s="78"/>
      <c r="P200" s="78"/>
      <c r="Q200" s="78"/>
      <c r="R200" s="78"/>
      <c r="S200" s="80" t="str">
        <f t="shared" si="1"/>
        <v/>
      </c>
      <c r="T200" s="80" t="str">
        <f t="shared" si="2"/>
        <v/>
      </c>
      <c r="U200" s="81"/>
      <c r="V200" s="81"/>
      <c r="W200" s="81"/>
      <c r="X200" s="81"/>
      <c r="Y200" s="81"/>
      <c r="Z200" s="81"/>
      <c r="AA200" s="82" t="str">
        <f t="shared" si="3"/>
        <v/>
      </c>
      <c r="AB200" s="82" t="str">
        <f t="shared" si="4"/>
        <v/>
      </c>
      <c r="AC200" s="82" t="str">
        <f t="shared" si="5"/>
        <v/>
      </c>
      <c r="AD200" s="82" t="str">
        <f t="shared" si="6"/>
        <v/>
      </c>
      <c r="AE200" s="83">
        <f t="shared" si="7"/>
        <v>0</v>
      </c>
      <c r="AF200" s="83">
        <f t="shared" si="8"/>
        <v>0</v>
      </c>
      <c r="AG200" s="79"/>
      <c r="AH200" s="78"/>
      <c r="AI200" s="78"/>
    </row>
    <row r="201" ht="15.75" customHeight="1">
      <c r="A201" s="78"/>
      <c r="B201" s="79"/>
      <c r="C201" s="78"/>
      <c r="D201" s="78"/>
      <c r="E201" s="78"/>
      <c r="F201" s="78"/>
      <c r="G201" s="78"/>
      <c r="H201" s="78"/>
      <c r="I201" s="78"/>
      <c r="J201" s="78"/>
      <c r="K201" s="78"/>
      <c r="L201" s="79"/>
      <c r="M201" s="78"/>
      <c r="N201" s="78"/>
      <c r="O201" s="78"/>
      <c r="P201" s="78"/>
      <c r="Q201" s="78"/>
      <c r="R201" s="78"/>
      <c r="S201" s="80" t="str">
        <f t="shared" si="1"/>
        <v/>
      </c>
      <c r="T201" s="80" t="str">
        <f t="shared" si="2"/>
        <v/>
      </c>
      <c r="U201" s="81"/>
      <c r="V201" s="81"/>
      <c r="W201" s="81"/>
      <c r="X201" s="81"/>
      <c r="Y201" s="81"/>
      <c r="Z201" s="81"/>
      <c r="AA201" s="82" t="str">
        <f t="shared" si="3"/>
        <v/>
      </c>
      <c r="AB201" s="82" t="str">
        <f t="shared" si="4"/>
        <v/>
      </c>
      <c r="AC201" s="82" t="str">
        <f t="shared" si="5"/>
        <v/>
      </c>
      <c r="AD201" s="82" t="str">
        <f t="shared" si="6"/>
        <v/>
      </c>
      <c r="AE201" s="83">
        <f t="shared" si="7"/>
        <v>0</v>
      </c>
      <c r="AF201" s="83">
        <f t="shared" si="8"/>
        <v>0</v>
      </c>
      <c r="AG201" s="79"/>
      <c r="AH201" s="78"/>
      <c r="AI201" s="78"/>
    </row>
    <row r="202" ht="15.75" customHeight="1">
      <c r="A202" s="78"/>
      <c r="B202" s="79"/>
      <c r="C202" s="78"/>
      <c r="D202" s="78"/>
      <c r="E202" s="78"/>
      <c r="F202" s="78"/>
      <c r="G202" s="78"/>
      <c r="H202" s="78"/>
      <c r="I202" s="78"/>
      <c r="J202" s="78"/>
      <c r="K202" s="78"/>
      <c r="L202" s="79"/>
      <c r="M202" s="78"/>
      <c r="N202" s="78"/>
      <c r="O202" s="78"/>
      <c r="P202" s="78"/>
      <c r="Q202" s="78"/>
      <c r="R202" s="78"/>
      <c r="S202" s="80" t="str">
        <f t="shared" si="1"/>
        <v/>
      </c>
      <c r="T202" s="80" t="str">
        <f t="shared" si="2"/>
        <v/>
      </c>
      <c r="U202" s="81"/>
      <c r="V202" s="81"/>
      <c r="W202" s="81"/>
      <c r="X202" s="81"/>
      <c r="Y202" s="81"/>
      <c r="Z202" s="81"/>
      <c r="AA202" s="82" t="str">
        <f t="shared" si="3"/>
        <v/>
      </c>
      <c r="AB202" s="82" t="str">
        <f t="shared" si="4"/>
        <v/>
      </c>
      <c r="AC202" s="82" t="str">
        <f t="shared" si="5"/>
        <v/>
      </c>
      <c r="AD202" s="82" t="str">
        <f t="shared" si="6"/>
        <v/>
      </c>
      <c r="AE202" s="83">
        <f t="shared" si="7"/>
        <v>0</v>
      </c>
      <c r="AF202" s="83">
        <f t="shared" si="8"/>
        <v>0</v>
      </c>
      <c r="AG202" s="79"/>
      <c r="AH202" s="78"/>
      <c r="AI202" s="78"/>
    </row>
    <row r="203" ht="15.75" customHeight="1">
      <c r="A203" s="78"/>
      <c r="B203" s="79"/>
      <c r="C203" s="78"/>
      <c r="D203" s="78"/>
      <c r="E203" s="78"/>
      <c r="F203" s="78"/>
      <c r="G203" s="78"/>
      <c r="H203" s="78"/>
      <c r="I203" s="78"/>
      <c r="J203" s="78"/>
      <c r="K203" s="78"/>
      <c r="L203" s="79"/>
      <c r="M203" s="78"/>
      <c r="N203" s="78"/>
      <c r="O203" s="78"/>
      <c r="P203" s="78"/>
      <c r="Q203" s="78"/>
      <c r="R203" s="78"/>
      <c r="S203" s="80" t="str">
        <f t="shared" si="1"/>
        <v/>
      </c>
      <c r="T203" s="80" t="str">
        <f t="shared" si="2"/>
        <v/>
      </c>
      <c r="U203" s="81"/>
      <c r="V203" s="81"/>
      <c r="W203" s="81"/>
      <c r="X203" s="81"/>
      <c r="Y203" s="81"/>
      <c r="Z203" s="81"/>
      <c r="AA203" s="82" t="str">
        <f t="shared" si="3"/>
        <v/>
      </c>
      <c r="AB203" s="82" t="str">
        <f t="shared" si="4"/>
        <v/>
      </c>
      <c r="AC203" s="82" t="str">
        <f t="shared" si="5"/>
        <v/>
      </c>
      <c r="AD203" s="82" t="str">
        <f t="shared" si="6"/>
        <v/>
      </c>
      <c r="AE203" s="83">
        <f t="shared" si="7"/>
        <v>0</v>
      </c>
      <c r="AF203" s="83">
        <f t="shared" si="8"/>
        <v>0</v>
      </c>
      <c r="AG203" s="79"/>
      <c r="AH203" s="78"/>
      <c r="AI203" s="78"/>
    </row>
    <row r="204" ht="15.75" customHeight="1">
      <c r="A204" s="78"/>
      <c r="B204" s="79"/>
      <c r="C204" s="78"/>
      <c r="D204" s="78"/>
      <c r="E204" s="78"/>
      <c r="F204" s="78"/>
      <c r="G204" s="78"/>
      <c r="H204" s="78"/>
      <c r="I204" s="78"/>
      <c r="J204" s="78"/>
      <c r="K204" s="78"/>
      <c r="L204" s="79"/>
      <c r="M204" s="78"/>
      <c r="N204" s="78"/>
      <c r="O204" s="78"/>
      <c r="P204" s="78"/>
      <c r="Q204" s="78"/>
      <c r="R204" s="78"/>
      <c r="S204" s="80" t="str">
        <f t="shared" si="1"/>
        <v/>
      </c>
      <c r="T204" s="80" t="str">
        <f t="shared" si="2"/>
        <v/>
      </c>
      <c r="U204" s="81"/>
      <c r="V204" s="81"/>
      <c r="W204" s="81"/>
      <c r="X204" s="81"/>
      <c r="Y204" s="81"/>
      <c r="Z204" s="81"/>
      <c r="AA204" s="82" t="str">
        <f t="shared" si="3"/>
        <v/>
      </c>
      <c r="AB204" s="82" t="str">
        <f t="shared" si="4"/>
        <v/>
      </c>
      <c r="AC204" s="82" t="str">
        <f t="shared" si="5"/>
        <v/>
      </c>
      <c r="AD204" s="82" t="str">
        <f t="shared" si="6"/>
        <v/>
      </c>
      <c r="AE204" s="83">
        <f t="shared" si="7"/>
        <v>0</v>
      </c>
      <c r="AF204" s="83">
        <f t="shared" si="8"/>
        <v>0</v>
      </c>
      <c r="AG204" s="79"/>
      <c r="AH204" s="78"/>
      <c r="AI204" s="78"/>
    </row>
    <row r="205" ht="15.75" customHeight="1">
      <c r="A205" s="78"/>
      <c r="B205" s="79"/>
      <c r="C205" s="78"/>
      <c r="D205" s="78"/>
      <c r="E205" s="78"/>
      <c r="F205" s="78"/>
      <c r="G205" s="78"/>
      <c r="H205" s="78"/>
      <c r="I205" s="78"/>
      <c r="J205" s="78"/>
      <c r="K205" s="78"/>
      <c r="L205" s="79"/>
      <c r="M205" s="78"/>
      <c r="N205" s="78"/>
      <c r="O205" s="78"/>
      <c r="P205" s="78"/>
      <c r="Q205" s="78"/>
      <c r="R205" s="78"/>
      <c r="S205" s="80" t="str">
        <f t="shared" si="1"/>
        <v/>
      </c>
      <c r="T205" s="80" t="str">
        <f t="shared" si="2"/>
        <v/>
      </c>
      <c r="U205" s="81"/>
      <c r="V205" s="81"/>
      <c r="W205" s="81"/>
      <c r="X205" s="81"/>
      <c r="Y205" s="81"/>
      <c r="Z205" s="81"/>
      <c r="AA205" s="82" t="str">
        <f t="shared" si="3"/>
        <v/>
      </c>
      <c r="AB205" s="82" t="str">
        <f t="shared" si="4"/>
        <v/>
      </c>
      <c r="AC205" s="82" t="str">
        <f t="shared" si="5"/>
        <v/>
      </c>
      <c r="AD205" s="82" t="str">
        <f t="shared" si="6"/>
        <v/>
      </c>
      <c r="AE205" s="83">
        <f t="shared" si="7"/>
        <v>0</v>
      </c>
      <c r="AF205" s="83">
        <f t="shared" si="8"/>
        <v>0</v>
      </c>
      <c r="AG205" s="79"/>
      <c r="AH205" s="78"/>
      <c r="AI205" s="78"/>
    </row>
    <row r="206" ht="15.75" customHeight="1">
      <c r="A206" s="78"/>
      <c r="B206" s="79"/>
      <c r="C206" s="78"/>
      <c r="D206" s="78"/>
      <c r="E206" s="78"/>
      <c r="F206" s="78"/>
      <c r="G206" s="78"/>
      <c r="H206" s="78"/>
      <c r="I206" s="78"/>
      <c r="J206" s="78"/>
      <c r="K206" s="78"/>
      <c r="L206" s="79"/>
      <c r="M206" s="78"/>
      <c r="N206" s="78"/>
      <c r="O206" s="78"/>
      <c r="P206" s="78"/>
      <c r="Q206" s="78"/>
      <c r="R206" s="78"/>
      <c r="S206" s="80" t="str">
        <f t="shared" si="1"/>
        <v/>
      </c>
      <c r="T206" s="80" t="str">
        <f t="shared" si="2"/>
        <v/>
      </c>
      <c r="U206" s="81"/>
      <c r="V206" s="81"/>
      <c r="W206" s="81"/>
      <c r="X206" s="81"/>
      <c r="Y206" s="81"/>
      <c r="Z206" s="81"/>
      <c r="AA206" s="82" t="str">
        <f t="shared" si="3"/>
        <v/>
      </c>
      <c r="AB206" s="82" t="str">
        <f t="shared" si="4"/>
        <v/>
      </c>
      <c r="AC206" s="82" t="str">
        <f t="shared" si="5"/>
        <v/>
      </c>
      <c r="AD206" s="82" t="str">
        <f t="shared" si="6"/>
        <v/>
      </c>
      <c r="AE206" s="83">
        <f t="shared" si="7"/>
        <v>0</v>
      </c>
      <c r="AF206" s="83">
        <f t="shared" si="8"/>
        <v>0</v>
      </c>
      <c r="AG206" s="79"/>
      <c r="AH206" s="78"/>
      <c r="AI206" s="78"/>
    </row>
    <row r="207" ht="15.75" customHeight="1">
      <c r="A207" s="78"/>
      <c r="B207" s="79"/>
      <c r="C207" s="78"/>
      <c r="D207" s="78"/>
      <c r="E207" s="78"/>
      <c r="F207" s="78"/>
      <c r="G207" s="78"/>
      <c r="H207" s="78"/>
      <c r="I207" s="78"/>
      <c r="J207" s="78"/>
      <c r="K207" s="78"/>
      <c r="L207" s="79"/>
      <c r="M207" s="78"/>
      <c r="N207" s="78"/>
      <c r="O207" s="78"/>
      <c r="P207" s="78"/>
      <c r="Q207" s="78"/>
      <c r="R207" s="78"/>
      <c r="S207" s="80" t="str">
        <f t="shared" si="1"/>
        <v/>
      </c>
      <c r="T207" s="80" t="str">
        <f t="shared" si="2"/>
        <v/>
      </c>
      <c r="U207" s="81"/>
      <c r="V207" s="81"/>
      <c r="W207" s="81"/>
      <c r="X207" s="81"/>
      <c r="Y207" s="81"/>
      <c r="Z207" s="81"/>
      <c r="AA207" s="82" t="str">
        <f t="shared" si="3"/>
        <v/>
      </c>
      <c r="AB207" s="82" t="str">
        <f t="shared" si="4"/>
        <v/>
      </c>
      <c r="AC207" s="82" t="str">
        <f t="shared" si="5"/>
        <v/>
      </c>
      <c r="AD207" s="82" t="str">
        <f t="shared" si="6"/>
        <v/>
      </c>
      <c r="AE207" s="83">
        <f t="shared" si="7"/>
        <v>0</v>
      </c>
      <c r="AF207" s="83">
        <f t="shared" si="8"/>
        <v>0</v>
      </c>
      <c r="AG207" s="79"/>
      <c r="AH207" s="78"/>
      <c r="AI207" s="78"/>
    </row>
    <row r="208" ht="15.75" customHeight="1">
      <c r="A208" s="78"/>
      <c r="B208" s="79"/>
      <c r="C208" s="78"/>
      <c r="D208" s="78"/>
      <c r="E208" s="78"/>
      <c r="F208" s="78"/>
      <c r="G208" s="78"/>
      <c r="H208" s="78"/>
      <c r="I208" s="78"/>
      <c r="J208" s="78"/>
      <c r="K208" s="78"/>
      <c r="L208" s="79"/>
      <c r="M208" s="78"/>
      <c r="N208" s="78"/>
      <c r="O208" s="78"/>
      <c r="P208" s="78"/>
      <c r="Q208" s="78"/>
      <c r="R208" s="78"/>
      <c r="S208" s="80" t="str">
        <f t="shared" si="1"/>
        <v/>
      </c>
      <c r="T208" s="80" t="str">
        <f t="shared" si="2"/>
        <v/>
      </c>
      <c r="U208" s="81"/>
      <c r="V208" s="81"/>
      <c r="W208" s="81"/>
      <c r="X208" s="81"/>
      <c r="Y208" s="81"/>
      <c r="Z208" s="81"/>
      <c r="AA208" s="82" t="str">
        <f t="shared" si="3"/>
        <v/>
      </c>
      <c r="AB208" s="82" t="str">
        <f t="shared" si="4"/>
        <v/>
      </c>
      <c r="AC208" s="82" t="str">
        <f t="shared" si="5"/>
        <v/>
      </c>
      <c r="AD208" s="82" t="str">
        <f t="shared" si="6"/>
        <v/>
      </c>
      <c r="AE208" s="83">
        <f t="shared" si="7"/>
        <v>0</v>
      </c>
      <c r="AF208" s="83">
        <f t="shared" si="8"/>
        <v>0</v>
      </c>
      <c r="AG208" s="79"/>
      <c r="AH208" s="78"/>
      <c r="AI208" s="78"/>
    </row>
    <row r="209" ht="15.75" customHeight="1">
      <c r="A209" s="78"/>
      <c r="B209" s="79"/>
      <c r="C209" s="78"/>
      <c r="D209" s="78"/>
      <c r="E209" s="78"/>
      <c r="F209" s="78"/>
      <c r="G209" s="78"/>
      <c r="H209" s="78"/>
      <c r="I209" s="78"/>
      <c r="J209" s="78"/>
      <c r="K209" s="78"/>
      <c r="L209" s="79"/>
      <c r="M209" s="78"/>
      <c r="N209" s="78"/>
      <c r="O209" s="78"/>
      <c r="P209" s="78"/>
      <c r="Q209" s="78"/>
      <c r="R209" s="78"/>
      <c r="S209" s="80" t="str">
        <f t="shared" si="1"/>
        <v/>
      </c>
      <c r="T209" s="80" t="str">
        <f t="shared" si="2"/>
        <v/>
      </c>
      <c r="U209" s="81"/>
      <c r="V209" s="81"/>
      <c r="W209" s="81"/>
      <c r="X209" s="81"/>
      <c r="Y209" s="81"/>
      <c r="Z209" s="81"/>
      <c r="AA209" s="82" t="str">
        <f t="shared" si="3"/>
        <v/>
      </c>
      <c r="AB209" s="82" t="str">
        <f t="shared" si="4"/>
        <v/>
      </c>
      <c r="AC209" s="82" t="str">
        <f t="shared" si="5"/>
        <v/>
      </c>
      <c r="AD209" s="82" t="str">
        <f t="shared" si="6"/>
        <v/>
      </c>
      <c r="AE209" s="83">
        <f t="shared" si="7"/>
        <v>0</v>
      </c>
      <c r="AF209" s="83">
        <f t="shared" si="8"/>
        <v>0</v>
      </c>
      <c r="AG209" s="79"/>
      <c r="AH209" s="78"/>
      <c r="AI209" s="78"/>
    </row>
    <row r="210" ht="15.75" customHeight="1">
      <c r="A210" s="78"/>
      <c r="B210" s="79"/>
      <c r="C210" s="78"/>
      <c r="D210" s="78"/>
      <c r="E210" s="78"/>
      <c r="F210" s="78"/>
      <c r="G210" s="78"/>
      <c r="H210" s="78"/>
      <c r="I210" s="78"/>
      <c r="J210" s="78"/>
      <c r="K210" s="78"/>
      <c r="L210" s="79"/>
      <c r="M210" s="78"/>
      <c r="N210" s="78"/>
      <c r="O210" s="78"/>
      <c r="P210" s="78"/>
      <c r="Q210" s="78"/>
      <c r="R210" s="78"/>
      <c r="S210" s="80" t="str">
        <f t="shared" si="1"/>
        <v/>
      </c>
      <c r="T210" s="80" t="str">
        <f t="shared" si="2"/>
        <v/>
      </c>
      <c r="U210" s="81"/>
      <c r="V210" s="81"/>
      <c r="W210" s="81"/>
      <c r="X210" s="81"/>
      <c r="Y210" s="81"/>
      <c r="Z210" s="81"/>
      <c r="AA210" s="82" t="str">
        <f t="shared" si="3"/>
        <v/>
      </c>
      <c r="AB210" s="82" t="str">
        <f t="shared" si="4"/>
        <v/>
      </c>
      <c r="AC210" s="82" t="str">
        <f t="shared" si="5"/>
        <v/>
      </c>
      <c r="AD210" s="82" t="str">
        <f t="shared" si="6"/>
        <v/>
      </c>
      <c r="AE210" s="83">
        <f t="shared" si="7"/>
        <v>0</v>
      </c>
      <c r="AF210" s="83">
        <f t="shared" si="8"/>
        <v>0</v>
      </c>
      <c r="AG210" s="79"/>
      <c r="AH210" s="78"/>
      <c r="AI210" s="78"/>
    </row>
    <row r="211" ht="15.75" customHeight="1">
      <c r="A211" s="78"/>
      <c r="B211" s="79"/>
      <c r="C211" s="78"/>
      <c r="D211" s="78"/>
      <c r="E211" s="78"/>
      <c r="F211" s="78"/>
      <c r="G211" s="78"/>
      <c r="H211" s="78"/>
      <c r="I211" s="78"/>
      <c r="J211" s="78"/>
      <c r="K211" s="78"/>
      <c r="L211" s="79"/>
      <c r="M211" s="78"/>
      <c r="N211" s="78"/>
      <c r="O211" s="78"/>
      <c r="P211" s="78"/>
      <c r="Q211" s="78"/>
      <c r="R211" s="78"/>
      <c r="S211" s="80" t="str">
        <f t="shared" si="1"/>
        <v/>
      </c>
      <c r="T211" s="80" t="str">
        <f t="shared" si="2"/>
        <v/>
      </c>
      <c r="U211" s="81"/>
      <c r="V211" s="81"/>
      <c r="W211" s="81"/>
      <c r="X211" s="81"/>
      <c r="Y211" s="81"/>
      <c r="Z211" s="81"/>
      <c r="AA211" s="82" t="str">
        <f t="shared" si="3"/>
        <v/>
      </c>
      <c r="AB211" s="82" t="str">
        <f t="shared" si="4"/>
        <v/>
      </c>
      <c r="AC211" s="82" t="str">
        <f t="shared" si="5"/>
        <v/>
      </c>
      <c r="AD211" s="82" t="str">
        <f t="shared" si="6"/>
        <v/>
      </c>
      <c r="AE211" s="83">
        <f t="shared" si="7"/>
        <v>0</v>
      </c>
      <c r="AF211" s="83">
        <f t="shared" si="8"/>
        <v>0</v>
      </c>
      <c r="AG211" s="79"/>
      <c r="AH211" s="78"/>
      <c r="AI211" s="78"/>
    </row>
    <row r="212" ht="15.75" customHeight="1">
      <c r="A212" s="78"/>
      <c r="B212" s="79"/>
      <c r="C212" s="78"/>
      <c r="D212" s="78"/>
      <c r="E212" s="78"/>
      <c r="F212" s="78"/>
      <c r="G212" s="78"/>
      <c r="H212" s="78"/>
      <c r="I212" s="78"/>
      <c r="J212" s="78"/>
      <c r="K212" s="78"/>
      <c r="L212" s="79"/>
      <c r="M212" s="78"/>
      <c r="N212" s="78"/>
      <c r="O212" s="78"/>
      <c r="P212" s="78"/>
      <c r="Q212" s="78"/>
      <c r="R212" s="78"/>
      <c r="S212" s="80" t="str">
        <f t="shared" si="1"/>
        <v/>
      </c>
      <c r="T212" s="80" t="str">
        <f t="shared" si="2"/>
        <v/>
      </c>
      <c r="U212" s="81"/>
      <c r="V212" s="81"/>
      <c r="W212" s="81"/>
      <c r="X212" s="81"/>
      <c r="Y212" s="81"/>
      <c r="Z212" s="81"/>
      <c r="AA212" s="82" t="str">
        <f t="shared" si="3"/>
        <v/>
      </c>
      <c r="AB212" s="82" t="str">
        <f t="shared" si="4"/>
        <v/>
      </c>
      <c r="AC212" s="82" t="str">
        <f t="shared" si="5"/>
        <v/>
      </c>
      <c r="AD212" s="82" t="str">
        <f t="shared" si="6"/>
        <v/>
      </c>
      <c r="AE212" s="83">
        <f t="shared" si="7"/>
        <v>0</v>
      </c>
      <c r="AF212" s="83">
        <f t="shared" si="8"/>
        <v>0</v>
      </c>
      <c r="AG212" s="79"/>
      <c r="AH212" s="78"/>
      <c r="AI212" s="78"/>
    </row>
    <row r="213" ht="15.75" customHeight="1">
      <c r="A213" s="78"/>
      <c r="B213" s="79"/>
      <c r="C213" s="78"/>
      <c r="D213" s="78"/>
      <c r="E213" s="78"/>
      <c r="F213" s="78"/>
      <c r="G213" s="78"/>
      <c r="H213" s="78"/>
      <c r="I213" s="78"/>
      <c r="J213" s="78"/>
      <c r="K213" s="78"/>
      <c r="L213" s="79"/>
      <c r="M213" s="78"/>
      <c r="N213" s="78"/>
      <c r="O213" s="78"/>
      <c r="P213" s="78"/>
      <c r="Q213" s="78"/>
      <c r="R213" s="78"/>
      <c r="S213" s="80" t="str">
        <f t="shared" si="1"/>
        <v/>
      </c>
      <c r="T213" s="80" t="str">
        <f t="shared" si="2"/>
        <v/>
      </c>
      <c r="U213" s="81"/>
      <c r="V213" s="81"/>
      <c r="W213" s="81"/>
      <c r="X213" s="81"/>
      <c r="Y213" s="81"/>
      <c r="Z213" s="81"/>
      <c r="AA213" s="82" t="str">
        <f t="shared" si="3"/>
        <v/>
      </c>
      <c r="AB213" s="82" t="str">
        <f t="shared" si="4"/>
        <v/>
      </c>
      <c r="AC213" s="82" t="str">
        <f t="shared" si="5"/>
        <v/>
      </c>
      <c r="AD213" s="82" t="str">
        <f t="shared" si="6"/>
        <v/>
      </c>
      <c r="AE213" s="83">
        <f t="shared" si="7"/>
        <v>0</v>
      </c>
      <c r="AF213" s="83">
        <f t="shared" si="8"/>
        <v>0</v>
      </c>
      <c r="AG213" s="79"/>
      <c r="AH213" s="78"/>
      <c r="AI213" s="78"/>
    </row>
    <row r="214" ht="15.75" customHeight="1">
      <c r="A214" s="78"/>
      <c r="B214" s="79"/>
      <c r="C214" s="78"/>
      <c r="D214" s="78"/>
      <c r="E214" s="78"/>
      <c r="F214" s="78"/>
      <c r="G214" s="78"/>
      <c r="H214" s="78"/>
      <c r="I214" s="78"/>
      <c r="J214" s="78"/>
      <c r="K214" s="78"/>
      <c r="L214" s="79"/>
      <c r="M214" s="78"/>
      <c r="N214" s="78"/>
      <c r="O214" s="78"/>
      <c r="P214" s="78"/>
      <c r="Q214" s="78"/>
      <c r="R214" s="78"/>
      <c r="S214" s="80" t="str">
        <f t="shared" si="1"/>
        <v/>
      </c>
      <c r="T214" s="80" t="str">
        <f t="shared" si="2"/>
        <v/>
      </c>
      <c r="U214" s="81"/>
      <c r="V214" s="81"/>
      <c r="W214" s="81"/>
      <c r="X214" s="81"/>
      <c r="Y214" s="81"/>
      <c r="Z214" s="81"/>
      <c r="AA214" s="82" t="str">
        <f t="shared" si="3"/>
        <v/>
      </c>
      <c r="AB214" s="82" t="str">
        <f t="shared" si="4"/>
        <v/>
      </c>
      <c r="AC214" s="82" t="str">
        <f t="shared" si="5"/>
        <v/>
      </c>
      <c r="AD214" s="82" t="str">
        <f t="shared" si="6"/>
        <v/>
      </c>
      <c r="AE214" s="83">
        <f t="shared" si="7"/>
        <v>0</v>
      </c>
      <c r="AF214" s="83">
        <f t="shared" si="8"/>
        <v>0</v>
      </c>
      <c r="AG214" s="79"/>
      <c r="AH214" s="78"/>
      <c r="AI214" s="78"/>
    </row>
    <row r="215" ht="15.75" customHeight="1">
      <c r="A215" s="78"/>
      <c r="B215" s="79"/>
      <c r="C215" s="78"/>
      <c r="D215" s="78"/>
      <c r="E215" s="78"/>
      <c r="F215" s="78"/>
      <c r="G215" s="78"/>
      <c r="H215" s="78"/>
      <c r="I215" s="78"/>
      <c r="J215" s="78"/>
      <c r="K215" s="78"/>
      <c r="L215" s="79"/>
      <c r="M215" s="78"/>
      <c r="N215" s="78"/>
      <c r="O215" s="78"/>
      <c r="P215" s="78"/>
      <c r="Q215" s="78"/>
      <c r="R215" s="78"/>
      <c r="S215" s="80" t="str">
        <f t="shared" si="1"/>
        <v/>
      </c>
      <c r="T215" s="80" t="str">
        <f t="shared" si="2"/>
        <v/>
      </c>
      <c r="U215" s="81"/>
      <c r="V215" s="81"/>
      <c r="W215" s="81"/>
      <c r="X215" s="81"/>
      <c r="Y215" s="81"/>
      <c r="Z215" s="81"/>
      <c r="AA215" s="82" t="str">
        <f t="shared" si="3"/>
        <v/>
      </c>
      <c r="AB215" s="82" t="str">
        <f t="shared" si="4"/>
        <v/>
      </c>
      <c r="AC215" s="82" t="str">
        <f t="shared" si="5"/>
        <v/>
      </c>
      <c r="AD215" s="82" t="str">
        <f t="shared" si="6"/>
        <v/>
      </c>
      <c r="AE215" s="83">
        <f t="shared" si="7"/>
        <v>0</v>
      </c>
      <c r="AF215" s="83">
        <f t="shared" si="8"/>
        <v>0</v>
      </c>
      <c r="AG215" s="79"/>
      <c r="AH215" s="78"/>
      <c r="AI215" s="78"/>
    </row>
    <row r="216" ht="15.75" customHeight="1">
      <c r="A216" s="78"/>
      <c r="B216" s="79"/>
      <c r="C216" s="78"/>
      <c r="D216" s="78"/>
      <c r="E216" s="78"/>
      <c r="F216" s="78"/>
      <c r="G216" s="78"/>
      <c r="H216" s="78"/>
      <c r="I216" s="78"/>
      <c r="J216" s="78"/>
      <c r="K216" s="78"/>
      <c r="L216" s="79"/>
      <c r="M216" s="78"/>
      <c r="N216" s="78"/>
      <c r="O216" s="78"/>
      <c r="P216" s="78"/>
      <c r="Q216" s="78"/>
      <c r="R216" s="78"/>
      <c r="S216" s="80" t="str">
        <f t="shared" si="1"/>
        <v/>
      </c>
      <c r="T216" s="80" t="str">
        <f t="shared" si="2"/>
        <v/>
      </c>
      <c r="U216" s="81"/>
      <c r="V216" s="81"/>
      <c r="W216" s="81"/>
      <c r="X216" s="81"/>
      <c r="Y216" s="81"/>
      <c r="Z216" s="81"/>
      <c r="AA216" s="82" t="str">
        <f t="shared" si="3"/>
        <v/>
      </c>
      <c r="AB216" s="82" t="str">
        <f t="shared" si="4"/>
        <v/>
      </c>
      <c r="AC216" s="82" t="str">
        <f t="shared" si="5"/>
        <v/>
      </c>
      <c r="AD216" s="82" t="str">
        <f t="shared" si="6"/>
        <v/>
      </c>
      <c r="AE216" s="83">
        <f t="shared" si="7"/>
        <v>0</v>
      </c>
      <c r="AF216" s="83">
        <f t="shared" si="8"/>
        <v>0</v>
      </c>
      <c r="AG216" s="79"/>
      <c r="AH216" s="78"/>
      <c r="AI216" s="78"/>
    </row>
    <row r="217" ht="15.75" customHeight="1">
      <c r="A217" s="78"/>
      <c r="B217" s="79"/>
      <c r="C217" s="78"/>
      <c r="D217" s="78"/>
      <c r="E217" s="78"/>
      <c r="F217" s="78"/>
      <c r="G217" s="78"/>
      <c r="H217" s="78"/>
      <c r="I217" s="78"/>
      <c r="J217" s="78"/>
      <c r="K217" s="78"/>
      <c r="L217" s="79"/>
      <c r="M217" s="78"/>
      <c r="N217" s="78"/>
      <c r="O217" s="78"/>
      <c r="P217" s="78"/>
      <c r="Q217" s="78"/>
      <c r="R217" s="78"/>
      <c r="S217" s="80" t="str">
        <f t="shared" si="1"/>
        <v/>
      </c>
      <c r="T217" s="80" t="str">
        <f t="shared" si="2"/>
        <v/>
      </c>
      <c r="U217" s="81"/>
      <c r="V217" s="81"/>
      <c r="W217" s="81"/>
      <c r="X217" s="81"/>
      <c r="Y217" s="81"/>
      <c r="Z217" s="81"/>
      <c r="AA217" s="82" t="str">
        <f t="shared" si="3"/>
        <v/>
      </c>
      <c r="AB217" s="82" t="str">
        <f t="shared" si="4"/>
        <v/>
      </c>
      <c r="AC217" s="82" t="str">
        <f t="shared" si="5"/>
        <v/>
      </c>
      <c r="AD217" s="82" t="str">
        <f t="shared" si="6"/>
        <v/>
      </c>
      <c r="AE217" s="83">
        <f t="shared" si="7"/>
        <v>0</v>
      </c>
      <c r="AF217" s="83">
        <f t="shared" si="8"/>
        <v>0</v>
      </c>
      <c r="AG217" s="79"/>
      <c r="AH217" s="78"/>
      <c r="AI217" s="78"/>
    </row>
    <row r="218" ht="15.75" customHeight="1">
      <c r="A218" s="78"/>
      <c r="B218" s="79"/>
      <c r="C218" s="78"/>
      <c r="D218" s="78"/>
      <c r="E218" s="78"/>
      <c r="F218" s="78"/>
      <c r="G218" s="78"/>
      <c r="H218" s="78"/>
      <c r="I218" s="78"/>
      <c r="J218" s="78"/>
      <c r="K218" s="78"/>
      <c r="L218" s="79"/>
      <c r="M218" s="78"/>
      <c r="N218" s="78"/>
      <c r="O218" s="78"/>
      <c r="P218" s="78"/>
      <c r="Q218" s="78"/>
      <c r="R218" s="78"/>
      <c r="S218" s="80" t="str">
        <f t="shared" si="1"/>
        <v/>
      </c>
      <c r="T218" s="80" t="str">
        <f t="shared" si="2"/>
        <v/>
      </c>
      <c r="U218" s="81"/>
      <c r="V218" s="81"/>
      <c r="W218" s="81"/>
      <c r="X218" s="81"/>
      <c r="Y218" s="81"/>
      <c r="Z218" s="81"/>
      <c r="AA218" s="82" t="str">
        <f t="shared" si="3"/>
        <v/>
      </c>
      <c r="AB218" s="82" t="str">
        <f t="shared" si="4"/>
        <v/>
      </c>
      <c r="AC218" s="82" t="str">
        <f t="shared" si="5"/>
        <v/>
      </c>
      <c r="AD218" s="82" t="str">
        <f t="shared" si="6"/>
        <v/>
      </c>
      <c r="AE218" s="83">
        <f t="shared" si="7"/>
        <v>0</v>
      </c>
      <c r="AF218" s="83">
        <f t="shared" si="8"/>
        <v>0</v>
      </c>
      <c r="AG218" s="79"/>
      <c r="AH218" s="78"/>
      <c r="AI218" s="78"/>
    </row>
    <row r="219" ht="15.75" customHeight="1">
      <c r="A219" s="78"/>
      <c r="B219" s="79"/>
      <c r="C219" s="78"/>
      <c r="D219" s="78"/>
      <c r="E219" s="78"/>
      <c r="F219" s="78"/>
      <c r="G219" s="78"/>
      <c r="H219" s="78"/>
      <c r="I219" s="78"/>
      <c r="J219" s="78"/>
      <c r="K219" s="78"/>
      <c r="L219" s="79"/>
      <c r="M219" s="78"/>
      <c r="N219" s="78"/>
      <c r="O219" s="78"/>
      <c r="P219" s="78"/>
      <c r="Q219" s="78"/>
      <c r="R219" s="78"/>
      <c r="S219" s="80" t="str">
        <f t="shared" si="1"/>
        <v/>
      </c>
      <c r="T219" s="80" t="str">
        <f t="shared" si="2"/>
        <v/>
      </c>
      <c r="U219" s="81"/>
      <c r="V219" s="81"/>
      <c r="W219" s="81"/>
      <c r="X219" s="81"/>
      <c r="Y219" s="81"/>
      <c r="Z219" s="81"/>
      <c r="AA219" s="82" t="str">
        <f t="shared" si="3"/>
        <v/>
      </c>
      <c r="AB219" s="82" t="str">
        <f t="shared" si="4"/>
        <v/>
      </c>
      <c r="AC219" s="82" t="str">
        <f t="shared" si="5"/>
        <v/>
      </c>
      <c r="AD219" s="82" t="str">
        <f t="shared" si="6"/>
        <v/>
      </c>
      <c r="AE219" s="83">
        <f t="shared" si="7"/>
        <v>0</v>
      </c>
      <c r="AF219" s="83">
        <f t="shared" si="8"/>
        <v>0</v>
      </c>
      <c r="AG219" s="79"/>
      <c r="AH219" s="78"/>
      <c r="AI219" s="78"/>
    </row>
    <row r="220" ht="15.75" customHeight="1">
      <c r="A220" s="78"/>
      <c r="B220" s="79"/>
      <c r="C220" s="78"/>
      <c r="D220" s="78"/>
      <c r="E220" s="78"/>
      <c r="F220" s="78"/>
      <c r="G220" s="78"/>
      <c r="H220" s="78"/>
      <c r="I220" s="78"/>
      <c r="J220" s="78"/>
      <c r="K220" s="78"/>
      <c r="L220" s="79"/>
      <c r="M220" s="78"/>
      <c r="N220" s="78"/>
      <c r="O220" s="78"/>
      <c r="P220" s="78"/>
      <c r="Q220" s="78"/>
      <c r="R220" s="78"/>
      <c r="S220" s="80" t="str">
        <f t="shared" si="1"/>
        <v/>
      </c>
      <c r="T220" s="80" t="str">
        <f t="shared" si="2"/>
        <v/>
      </c>
      <c r="U220" s="81"/>
      <c r="V220" s="81"/>
      <c r="W220" s="81"/>
      <c r="X220" s="81"/>
      <c r="Y220" s="81"/>
      <c r="Z220" s="81"/>
      <c r="AA220" s="82" t="str">
        <f t="shared" si="3"/>
        <v/>
      </c>
      <c r="AB220" s="82" t="str">
        <f t="shared" si="4"/>
        <v/>
      </c>
      <c r="AC220" s="82" t="str">
        <f t="shared" si="5"/>
        <v/>
      </c>
      <c r="AD220" s="82" t="str">
        <f t="shared" si="6"/>
        <v/>
      </c>
      <c r="AE220" s="83">
        <f t="shared" si="7"/>
        <v>0</v>
      </c>
      <c r="AF220" s="83">
        <f t="shared" si="8"/>
        <v>0</v>
      </c>
      <c r="AG220" s="79"/>
      <c r="AH220" s="78"/>
      <c r="AI220" s="78"/>
    </row>
    <row r="221" ht="15.75" customHeight="1">
      <c r="A221" s="78"/>
      <c r="B221" s="79"/>
      <c r="C221" s="78"/>
      <c r="D221" s="78"/>
      <c r="E221" s="78"/>
      <c r="F221" s="78"/>
      <c r="G221" s="78"/>
      <c r="H221" s="78"/>
      <c r="I221" s="78"/>
      <c r="J221" s="78"/>
      <c r="K221" s="78"/>
      <c r="L221" s="79"/>
      <c r="M221" s="78"/>
      <c r="N221" s="78"/>
      <c r="O221" s="78"/>
      <c r="P221" s="78"/>
      <c r="Q221" s="78"/>
      <c r="R221" s="78"/>
      <c r="S221" s="80" t="str">
        <f t="shared" si="1"/>
        <v/>
      </c>
      <c r="T221" s="80" t="str">
        <f t="shared" si="2"/>
        <v/>
      </c>
      <c r="U221" s="81"/>
      <c r="V221" s="81"/>
      <c r="W221" s="81"/>
      <c r="X221" s="81"/>
      <c r="Y221" s="81"/>
      <c r="Z221" s="81"/>
      <c r="AA221" s="82" t="str">
        <f t="shared" si="3"/>
        <v/>
      </c>
      <c r="AB221" s="82" t="str">
        <f t="shared" si="4"/>
        <v/>
      </c>
      <c r="AC221" s="82" t="str">
        <f t="shared" si="5"/>
        <v/>
      </c>
      <c r="AD221" s="82" t="str">
        <f t="shared" si="6"/>
        <v/>
      </c>
      <c r="AE221" s="83">
        <f t="shared" si="7"/>
        <v>0</v>
      </c>
      <c r="AF221" s="83">
        <f t="shared" si="8"/>
        <v>0</v>
      </c>
      <c r="AG221" s="79"/>
      <c r="AH221" s="78"/>
      <c r="AI221" s="78"/>
    </row>
    <row r="222" ht="15.75" customHeight="1">
      <c r="A222" s="78"/>
      <c r="B222" s="79"/>
      <c r="C222" s="78"/>
      <c r="D222" s="78"/>
      <c r="E222" s="78"/>
      <c r="F222" s="78"/>
      <c r="G222" s="78"/>
      <c r="H222" s="78"/>
      <c r="I222" s="78"/>
      <c r="J222" s="78"/>
      <c r="K222" s="78"/>
      <c r="L222" s="79"/>
      <c r="M222" s="78"/>
      <c r="N222" s="78"/>
      <c r="O222" s="78"/>
      <c r="P222" s="78"/>
      <c r="Q222" s="78"/>
      <c r="R222" s="78"/>
      <c r="S222" s="80" t="str">
        <f t="shared" si="1"/>
        <v/>
      </c>
      <c r="T222" s="80" t="str">
        <f t="shared" si="2"/>
        <v/>
      </c>
      <c r="U222" s="81"/>
      <c r="V222" s="81"/>
      <c r="W222" s="81"/>
      <c r="X222" s="81"/>
      <c r="Y222" s="81"/>
      <c r="Z222" s="81"/>
      <c r="AA222" s="82" t="str">
        <f t="shared" si="3"/>
        <v/>
      </c>
      <c r="AB222" s="82" t="str">
        <f t="shared" si="4"/>
        <v/>
      </c>
      <c r="AC222" s="82" t="str">
        <f t="shared" si="5"/>
        <v/>
      </c>
      <c r="AD222" s="82" t="str">
        <f t="shared" si="6"/>
        <v/>
      </c>
      <c r="AE222" s="83">
        <f t="shared" si="7"/>
        <v>0</v>
      </c>
      <c r="AF222" s="83">
        <f t="shared" si="8"/>
        <v>0</v>
      </c>
      <c r="AG222" s="79"/>
      <c r="AH222" s="78"/>
      <c r="AI222" s="78"/>
    </row>
    <row r="223" ht="15.75" customHeight="1">
      <c r="A223" s="78"/>
      <c r="B223" s="79"/>
      <c r="C223" s="78"/>
      <c r="D223" s="78"/>
      <c r="E223" s="78"/>
      <c r="F223" s="78"/>
      <c r="G223" s="78"/>
      <c r="H223" s="78"/>
      <c r="I223" s="78"/>
      <c r="J223" s="78"/>
      <c r="K223" s="78"/>
      <c r="L223" s="79"/>
      <c r="M223" s="78"/>
      <c r="N223" s="78"/>
      <c r="O223" s="78"/>
      <c r="P223" s="78"/>
      <c r="Q223" s="78"/>
      <c r="R223" s="78"/>
      <c r="S223" s="80" t="str">
        <f t="shared" si="1"/>
        <v/>
      </c>
      <c r="T223" s="80" t="str">
        <f t="shared" si="2"/>
        <v/>
      </c>
      <c r="U223" s="81"/>
      <c r="V223" s="81"/>
      <c r="W223" s="81"/>
      <c r="X223" s="81"/>
      <c r="Y223" s="81"/>
      <c r="Z223" s="81"/>
      <c r="AA223" s="82" t="str">
        <f t="shared" si="3"/>
        <v/>
      </c>
      <c r="AB223" s="82" t="str">
        <f t="shared" si="4"/>
        <v/>
      </c>
      <c r="AC223" s="82" t="str">
        <f t="shared" si="5"/>
        <v/>
      </c>
      <c r="AD223" s="82" t="str">
        <f t="shared" si="6"/>
        <v/>
      </c>
      <c r="AE223" s="83">
        <f t="shared" si="7"/>
        <v>0</v>
      </c>
      <c r="AF223" s="83">
        <f t="shared" si="8"/>
        <v>0</v>
      </c>
      <c r="AG223" s="79"/>
      <c r="AH223" s="78"/>
      <c r="AI223" s="78"/>
    </row>
    <row r="224" ht="15.75" customHeight="1">
      <c r="A224" s="78"/>
      <c r="B224" s="79"/>
      <c r="C224" s="78"/>
      <c r="D224" s="78"/>
      <c r="E224" s="78"/>
      <c r="F224" s="78"/>
      <c r="G224" s="78"/>
      <c r="H224" s="78"/>
      <c r="I224" s="78"/>
      <c r="J224" s="78"/>
      <c r="K224" s="78"/>
      <c r="L224" s="79"/>
      <c r="M224" s="78"/>
      <c r="N224" s="78"/>
      <c r="O224" s="78"/>
      <c r="P224" s="78"/>
      <c r="Q224" s="78"/>
      <c r="R224" s="78"/>
      <c r="S224" s="80" t="str">
        <f t="shared" si="1"/>
        <v/>
      </c>
      <c r="T224" s="80" t="str">
        <f t="shared" si="2"/>
        <v/>
      </c>
      <c r="U224" s="81"/>
      <c r="V224" s="81"/>
      <c r="W224" s="81"/>
      <c r="X224" s="81"/>
      <c r="Y224" s="81"/>
      <c r="Z224" s="81"/>
      <c r="AA224" s="82" t="str">
        <f t="shared" si="3"/>
        <v/>
      </c>
      <c r="AB224" s="82" t="str">
        <f t="shared" si="4"/>
        <v/>
      </c>
      <c r="AC224" s="82" t="str">
        <f t="shared" si="5"/>
        <v/>
      </c>
      <c r="AD224" s="82" t="str">
        <f t="shared" si="6"/>
        <v/>
      </c>
      <c r="AE224" s="83">
        <f t="shared" si="7"/>
        <v>0</v>
      </c>
      <c r="AF224" s="83">
        <f t="shared" si="8"/>
        <v>0</v>
      </c>
      <c r="AG224" s="79"/>
      <c r="AH224" s="78"/>
      <c r="AI224" s="78"/>
    </row>
    <row r="225" ht="15.75" customHeight="1">
      <c r="A225" s="78"/>
      <c r="B225" s="79"/>
      <c r="C225" s="78"/>
      <c r="D225" s="78"/>
      <c r="E225" s="78"/>
      <c r="F225" s="78"/>
      <c r="G225" s="78"/>
      <c r="H225" s="78"/>
      <c r="I225" s="78"/>
      <c r="J225" s="78"/>
      <c r="K225" s="78"/>
      <c r="L225" s="79"/>
      <c r="M225" s="78"/>
      <c r="N225" s="78"/>
      <c r="O225" s="78"/>
      <c r="P225" s="78"/>
      <c r="Q225" s="78"/>
      <c r="R225" s="78"/>
      <c r="S225" s="80" t="str">
        <f t="shared" si="1"/>
        <v/>
      </c>
      <c r="T225" s="80" t="str">
        <f t="shared" si="2"/>
        <v/>
      </c>
      <c r="U225" s="81"/>
      <c r="V225" s="81"/>
      <c r="W225" s="81"/>
      <c r="X225" s="81"/>
      <c r="Y225" s="81"/>
      <c r="Z225" s="81"/>
      <c r="AA225" s="82" t="str">
        <f t="shared" si="3"/>
        <v/>
      </c>
      <c r="AB225" s="82" t="str">
        <f t="shared" si="4"/>
        <v/>
      </c>
      <c r="AC225" s="82" t="str">
        <f t="shared" si="5"/>
        <v/>
      </c>
      <c r="AD225" s="82" t="str">
        <f t="shared" si="6"/>
        <v/>
      </c>
      <c r="AE225" s="83">
        <f t="shared" si="7"/>
        <v>0</v>
      </c>
      <c r="AF225" s="83">
        <f t="shared" si="8"/>
        <v>0</v>
      </c>
      <c r="AG225" s="79"/>
      <c r="AH225" s="78"/>
      <c r="AI225" s="78"/>
    </row>
    <row r="226" ht="15.75" customHeight="1">
      <c r="A226" s="78"/>
      <c r="B226" s="79"/>
      <c r="C226" s="78"/>
      <c r="D226" s="78"/>
      <c r="E226" s="78"/>
      <c r="F226" s="78"/>
      <c r="G226" s="78"/>
      <c r="H226" s="78"/>
      <c r="I226" s="78"/>
      <c r="J226" s="78"/>
      <c r="K226" s="78"/>
      <c r="L226" s="79"/>
      <c r="M226" s="78"/>
      <c r="N226" s="78"/>
      <c r="O226" s="78"/>
      <c r="P226" s="78"/>
      <c r="Q226" s="78"/>
      <c r="R226" s="78"/>
      <c r="S226" s="80" t="str">
        <f t="shared" si="1"/>
        <v/>
      </c>
      <c r="T226" s="80" t="str">
        <f t="shared" si="2"/>
        <v/>
      </c>
      <c r="U226" s="81"/>
      <c r="V226" s="81"/>
      <c r="W226" s="81"/>
      <c r="X226" s="81"/>
      <c r="Y226" s="81"/>
      <c r="Z226" s="81"/>
      <c r="AA226" s="82" t="str">
        <f t="shared" si="3"/>
        <v/>
      </c>
      <c r="AB226" s="82" t="str">
        <f t="shared" si="4"/>
        <v/>
      </c>
      <c r="AC226" s="82" t="str">
        <f t="shared" si="5"/>
        <v/>
      </c>
      <c r="AD226" s="82" t="str">
        <f t="shared" si="6"/>
        <v/>
      </c>
      <c r="AE226" s="83">
        <f t="shared" si="7"/>
        <v>0</v>
      </c>
      <c r="AF226" s="83">
        <f t="shared" si="8"/>
        <v>0</v>
      </c>
      <c r="AG226" s="79"/>
      <c r="AH226" s="78"/>
      <c r="AI226" s="78"/>
    </row>
    <row r="227" ht="15.75" customHeight="1">
      <c r="A227" s="78"/>
      <c r="B227" s="79"/>
      <c r="C227" s="78"/>
      <c r="D227" s="78"/>
      <c r="E227" s="78"/>
      <c r="F227" s="78"/>
      <c r="G227" s="78"/>
      <c r="H227" s="78"/>
      <c r="I227" s="78"/>
      <c r="J227" s="78"/>
      <c r="K227" s="78"/>
      <c r="L227" s="79"/>
      <c r="M227" s="78"/>
      <c r="N227" s="78"/>
      <c r="O227" s="78"/>
      <c r="P227" s="78"/>
      <c r="Q227" s="78"/>
      <c r="R227" s="78"/>
      <c r="S227" s="80" t="str">
        <f t="shared" si="1"/>
        <v/>
      </c>
      <c r="T227" s="80" t="str">
        <f t="shared" si="2"/>
        <v/>
      </c>
      <c r="U227" s="81"/>
      <c r="V227" s="81"/>
      <c r="W227" s="81"/>
      <c r="X227" s="81"/>
      <c r="Y227" s="81"/>
      <c r="Z227" s="81"/>
      <c r="AA227" s="82" t="str">
        <f t="shared" si="3"/>
        <v/>
      </c>
      <c r="AB227" s="82" t="str">
        <f t="shared" si="4"/>
        <v/>
      </c>
      <c r="AC227" s="82" t="str">
        <f t="shared" si="5"/>
        <v/>
      </c>
      <c r="AD227" s="82" t="str">
        <f t="shared" si="6"/>
        <v/>
      </c>
      <c r="AE227" s="83">
        <f t="shared" si="7"/>
        <v>0</v>
      </c>
      <c r="AF227" s="83">
        <f t="shared" si="8"/>
        <v>0</v>
      </c>
      <c r="AG227" s="79"/>
      <c r="AH227" s="78"/>
      <c r="AI227" s="78"/>
    </row>
    <row r="228" ht="15.75" customHeight="1">
      <c r="A228" s="78"/>
      <c r="B228" s="79"/>
      <c r="C228" s="78"/>
      <c r="D228" s="78"/>
      <c r="E228" s="78"/>
      <c r="F228" s="78"/>
      <c r="G228" s="78"/>
      <c r="H228" s="78"/>
      <c r="I228" s="78"/>
      <c r="J228" s="78"/>
      <c r="K228" s="78"/>
      <c r="L228" s="79"/>
      <c r="M228" s="78"/>
      <c r="N228" s="78"/>
      <c r="O228" s="78"/>
      <c r="P228" s="78"/>
      <c r="Q228" s="78"/>
      <c r="R228" s="78"/>
      <c r="S228" s="80" t="str">
        <f t="shared" si="1"/>
        <v/>
      </c>
      <c r="T228" s="80" t="str">
        <f t="shared" si="2"/>
        <v/>
      </c>
      <c r="U228" s="81"/>
      <c r="V228" s="81"/>
      <c r="W228" s="81"/>
      <c r="X228" s="81"/>
      <c r="Y228" s="81"/>
      <c r="Z228" s="81"/>
      <c r="AA228" s="82" t="str">
        <f t="shared" si="3"/>
        <v/>
      </c>
      <c r="AB228" s="82" t="str">
        <f t="shared" si="4"/>
        <v/>
      </c>
      <c r="AC228" s="82" t="str">
        <f t="shared" si="5"/>
        <v/>
      </c>
      <c r="AD228" s="82" t="str">
        <f t="shared" si="6"/>
        <v/>
      </c>
      <c r="AE228" s="83">
        <f t="shared" si="7"/>
        <v>0</v>
      </c>
      <c r="AF228" s="83">
        <f t="shared" si="8"/>
        <v>0</v>
      </c>
      <c r="AG228" s="79"/>
      <c r="AH228" s="78"/>
      <c r="AI228" s="78"/>
    </row>
    <row r="229" ht="15.75" customHeight="1">
      <c r="A229" s="78"/>
      <c r="B229" s="79"/>
      <c r="C229" s="78"/>
      <c r="D229" s="78"/>
      <c r="E229" s="78"/>
      <c r="F229" s="78"/>
      <c r="G229" s="78"/>
      <c r="H229" s="78"/>
      <c r="I229" s="78"/>
      <c r="J229" s="78"/>
      <c r="K229" s="78"/>
      <c r="L229" s="79"/>
      <c r="M229" s="78"/>
      <c r="N229" s="78"/>
      <c r="O229" s="78"/>
      <c r="P229" s="78"/>
      <c r="Q229" s="78"/>
      <c r="R229" s="78"/>
      <c r="S229" s="80" t="str">
        <f t="shared" si="1"/>
        <v/>
      </c>
      <c r="T229" s="80" t="str">
        <f t="shared" si="2"/>
        <v/>
      </c>
      <c r="U229" s="81"/>
      <c r="V229" s="81"/>
      <c r="W229" s="81"/>
      <c r="X229" s="81"/>
      <c r="Y229" s="81"/>
      <c r="Z229" s="81"/>
      <c r="AA229" s="82" t="str">
        <f t="shared" si="3"/>
        <v/>
      </c>
      <c r="AB229" s="82" t="str">
        <f t="shared" si="4"/>
        <v/>
      </c>
      <c r="AC229" s="82" t="str">
        <f t="shared" si="5"/>
        <v/>
      </c>
      <c r="AD229" s="82" t="str">
        <f t="shared" si="6"/>
        <v/>
      </c>
      <c r="AE229" s="83">
        <f t="shared" si="7"/>
        <v>0</v>
      </c>
      <c r="AF229" s="83">
        <f t="shared" si="8"/>
        <v>0</v>
      </c>
      <c r="AG229" s="79"/>
      <c r="AH229" s="78"/>
      <c r="AI229" s="78"/>
    </row>
    <row r="230" ht="15.75" customHeight="1">
      <c r="A230" s="78"/>
      <c r="B230" s="79"/>
      <c r="C230" s="78"/>
      <c r="D230" s="78"/>
      <c r="E230" s="78"/>
      <c r="F230" s="78"/>
      <c r="G230" s="78"/>
      <c r="H230" s="78"/>
      <c r="I230" s="78"/>
      <c r="J230" s="78"/>
      <c r="K230" s="78"/>
      <c r="L230" s="79"/>
      <c r="M230" s="78"/>
      <c r="N230" s="78"/>
      <c r="O230" s="78"/>
      <c r="P230" s="78"/>
      <c r="Q230" s="78"/>
      <c r="R230" s="78"/>
      <c r="S230" s="80" t="str">
        <f t="shared" si="1"/>
        <v/>
      </c>
      <c r="T230" s="80" t="str">
        <f t="shared" si="2"/>
        <v/>
      </c>
      <c r="U230" s="81"/>
      <c r="V230" s="81"/>
      <c r="W230" s="81"/>
      <c r="X230" s="81"/>
      <c r="Y230" s="81"/>
      <c r="Z230" s="81"/>
      <c r="AA230" s="82" t="str">
        <f t="shared" si="3"/>
        <v/>
      </c>
      <c r="AB230" s="82" t="str">
        <f t="shared" si="4"/>
        <v/>
      </c>
      <c r="AC230" s="82" t="str">
        <f t="shared" si="5"/>
        <v/>
      </c>
      <c r="AD230" s="82" t="str">
        <f t="shared" si="6"/>
        <v/>
      </c>
      <c r="AE230" s="83">
        <f t="shared" si="7"/>
        <v>0</v>
      </c>
      <c r="AF230" s="83">
        <f t="shared" si="8"/>
        <v>0</v>
      </c>
      <c r="AG230" s="79"/>
      <c r="AH230" s="78"/>
      <c r="AI230" s="78"/>
    </row>
    <row r="231" ht="15.75" customHeight="1">
      <c r="A231" s="78"/>
      <c r="B231" s="79"/>
      <c r="C231" s="78"/>
      <c r="D231" s="78"/>
      <c r="E231" s="78"/>
      <c r="F231" s="78"/>
      <c r="G231" s="78"/>
      <c r="H231" s="78"/>
      <c r="I231" s="78"/>
      <c r="J231" s="78"/>
      <c r="K231" s="78"/>
      <c r="L231" s="79"/>
      <c r="M231" s="78"/>
      <c r="N231" s="78"/>
      <c r="O231" s="78"/>
      <c r="P231" s="78"/>
      <c r="Q231" s="78"/>
      <c r="R231" s="78"/>
      <c r="S231" s="80" t="str">
        <f t="shared" si="1"/>
        <v/>
      </c>
      <c r="T231" s="80" t="str">
        <f t="shared" si="2"/>
        <v/>
      </c>
      <c r="U231" s="81"/>
      <c r="V231" s="81"/>
      <c r="W231" s="81"/>
      <c r="X231" s="81"/>
      <c r="Y231" s="81"/>
      <c r="Z231" s="81"/>
      <c r="AA231" s="82" t="str">
        <f t="shared" si="3"/>
        <v/>
      </c>
      <c r="AB231" s="82" t="str">
        <f t="shared" si="4"/>
        <v/>
      </c>
      <c r="AC231" s="82" t="str">
        <f t="shared" si="5"/>
        <v/>
      </c>
      <c r="AD231" s="82" t="str">
        <f t="shared" si="6"/>
        <v/>
      </c>
      <c r="AE231" s="83">
        <f t="shared" si="7"/>
        <v>0</v>
      </c>
      <c r="AF231" s="83">
        <f t="shared" si="8"/>
        <v>0</v>
      </c>
      <c r="AG231" s="79"/>
      <c r="AH231" s="78"/>
      <c r="AI231" s="78"/>
    </row>
    <row r="232" ht="15.75" customHeight="1">
      <c r="A232" s="78"/>
      <c r="B232" s="79"/>
      <c r="C232" s="78"/>
      <c r="D232" s="78"/>
      <c r="E232" s="78"/>
      <c r="F232" s="78"/>
      <c r="G232" s="78"/>
      <c r="H232" s="78"/>
      <c r="I232" s="78"/>
      <c r="J232" s="78"/>
      <c r="K232" s="78"/>
      <c r="L232" s="79"/>
      <c r="M232" s="78"/>
      <c r="N232" s="78"/>
      <c r="O232" s="78"/>
      <c r="P232" s="78"/>
      <c r="Q232" s="78"/>
      <c r="R232" s="78"/>
      <c r="S232" s="80" t="str">
        <f t="shared" si="1"/>
        <v/>
      </c>
      <c r="T232" s="80" t="str">
        <f t="shared" si="2"/>
        <v/>
      </c>
      <c r="U232" s="81"/>
      <c r="V232" s="81"/>
      <c r="W232" s="81"/>
      <c r="X232" s="81"/>
      <c r="Y232" s="81"/>
      <c r="Z232" s="81"/>
      <c r="AA232" s="82" t="str">
        <f t="shared" si="3"/>
        <v/>
      </c>
      <c r="AB232" s="82" t="str">
        <f t="shared" si="4"/>
        <v/>
      </c>
      <c r="AC232" s="82" t="str">
        <f t="shared" si="5"/>
        <v/>
      </c>
      <c r="AD232" s="82" t="str">
        <f t="shared" si="6"/>
        <v/>
      </c>
      <c r="AE232" s="83">
        <f t="shared" si="7"/>
        <v>0</v>
      </c>
      <c r="AF232" s="83">
        <f t="shared" si="8"/>
        <v>0</v>
      </c>
      <c r="AG232" s="79"/>
      <c r="AH232" s="78"/>
      <c r="AI232" s="78"/>
    </row>
    <row r="233" ht="15.75" customHeight="1">
      <c r="A233" s="78"/>
      <c r="B233" s="79"/>
      <c r="C233" s="78"/>
      <c r="D233" s="78"/>
      <c r="E233" s="78"/>
      <c r="F233" s="78"/>
      <c r="G233" s="78"/>
      <c r="H233" s="78"/>
      <c r="I233" s="78"/>
      <c r="J233" s="78"/>
      <c r="K233" s="78"/>
      <c r="L233" s="79"/>
      <c r="M233" s="78"/>
      <c r="N233" s="78"/>
      <c r="O233" s="78"/>
      <c r="P233" s="78"/>
      <c r="Q233" s="78"/>
      <c r="R233" s="78"/>
      <c r="S233" s="80" t="str">
        <f t="shared" si="1"/>
        <v/>
      </c>
      <c r="T233" s="80" t="str">
        <f t="shared" si="2"/>
        <v/>
      </c>
      <c r="U233" s="81"/>
      <c r="V233" s="81"/>
      <c r="W233" s="81"/>
      <c r="X233" s="81"/>
      <c r="Y233" s="81"/>
      <c r="Z233" s="81"/>
      <c r="AA233" s="82" t="str">
        <f t="shared" si="3"/>
        <v/>
      </c>
      <c r="AB233" s="82" t="str">
        <f t="shared" si="4"/>
        <v/>
      </c>
      <c r="AC233" s="82" t="str">
        <f t="shared" si="5"/>
        <v/>
      </c>
      <c r="AD233" s="82" t="str">
        <f t="shared" si="6"/>
        <v/>
      </c>
      <c r="AE233" s="83">
        <f t="shared" si="7"/>
        <v>0</v>
      </c>
      <c r="AF233" s="83">
        <f t="shared" si="8"/>
        <v>0</v>
      </c>
      <c r="AG233" s="79"/>
      <c r="AH233" s="78"/>
      <c r="AI233" s="78"/>
    </row>
    <row r="234" ht="15.75" customHeight="1">
      <c r="A234" s="78"/>
      <c r="B234" s="79"/>
      <c r="C234" s="78"/>
      <c r="D234" s="78"/>
      <c r="E234" s="78"/>
      <c r="F234" s="78"/>
      <c r="G234" s="78"/>
      <c r="H234" s="78"/>
      <c r="I234" s="78"/>
      <c r="J234" s="78"/>
      <c r="K234" s="78"/>
      <c r="L234" s="79"/>
      <c r="M234" s="78"/>
      <c r="N234" s="78"/>
      <c r="O234" s="78"/>
      <c r="P234" s="78"/>
      <c r="Q234" s="78"/>
      <c r="R234" s="78"/>
      <c r="S234" s="80" t="str">
        <f t="shared" si="1"/>
        <v/>
      </c>
      <c r="T234" s="80" t="str">
        <f t="shared" si="2"/>
        <v/>
      </c>
      <c r="U234" s="81"/>
      <c r="V234" s="81"/>
      <c r="W234" s="81"/>
      <c r="X234" s="81"/>
      <c r="Y234" s="81"/>
      <c r="Z234" s="81"/>
      <c r="AA234" s="82" t="str">
        <f t="shared" si="3"/>
        <v/>
      </c>
      <c r="AB234" s="82" t="str">
        <f t="shared" si="4"/>
        <v/>
      </c>
      <c r="AC234" s="82" t="str">
        <f t="shared" si="5"/>
        <v/>
      </c>
      <c r="AD234" s="82" t="str">
        <f t="shared" si="6"/>
        <v/>
      </c>
      <c r="AE234" s="83">
        <f t="shared" si="7"/>
        <v>0</v>
      </c>
      <c r="AF234" s="83">
        <f t="shared" si="8"/>
        <v>0</v>
      </c>
      <c r="AG234" s="79"/>
      <c r="AH234" s="78"/>
      <c r="AI234" s="78"/>
    </row>
    <row r="235" ht="15.75" customHeight="1">
      <c r="A235" s="78"/>
      <c r="B235" s="79"/>
      <c r="C235" s="78"/>
      <c r="D235" s="78"/>
      <c r="E235" s="78"/>
      <c r="F235" s="78"/>
      <c r="G235" s="78"/>
      <c r="H235" s="78"/>
      <c r="I235" s="78"/>
      <c r="J235" s="78"/>
      <c r="K235" s="78"/>
      <c r="L235" s="79"/>
      <c r="M235" s="78"/>
      <c r="N235" s="78"/>
      <c r="O235" s="78"/>
      <c r="P235" s="78"/>
      <c r="Q235" s="78"/>
      <c r="R235" s="78"/>
      <c r="S235" s="80" t="str">
        <f t="shared" si="1"/>
        <v/>
      </c>
      <c r="T235" s="80" t="str">
        <f t="shared" si="2"/>
        <v/>
      </c>
      <c r="U235" s="81"/>
      <c r="V235" s="81"/>
      <c r="W235" s="81"/>
      <c r="X235" s="81"/>
      <c r="Y235" s="81"/>
      <c r="Z235" s="81"/>
      <c r="AA235" s="82" t="str">
        <f t="shared" si="3"/>
        <v/>
      </c>
      <c r="AB235" s="82" t="str">
        <f t="shared" si="4"/>
        <v/>
      </c>
      <c r="AC235" s="82" t="str">
        <f t="shared" si="5"/>
        <v/>
      </c>
      <c r="AD235" s="82" t="str">
        <f t="shared" si="6"/>
        <v/>
      </c>
      <c r="AE235" s="83">
        <f t="shared" si="7"/>
        <v>0</v>
      </c>
      <c r="AF235" s="83">
        <f t="shared" si="8"/>
        <v>0</v>
      </c>
      <c r="AG235" s="79"/>
      <c r="AH235" s="78"/>
      <c r="AI235" s="78"/>
    </row>
    <row r="236" ht="15.75" customHeight="1">
      <c r="A236" s="78"/>
      <c r="B236" s="79"/>
      <c r="C236" s="78"/>
      <c r="D236" s="78"/>
      <c r="E236" s="78"/>
      <c r="F236" s="78"/>
      <c r="G236" s="78"/>
      <c r="H236" s="78"/>
      <c r="I236" s="78"/>
      <c r="J236" s="78"/>
      <c r="K236" s="78"/>
      <c r="L236" s="79"/>
      <c r="M236" s="78"/>
      <c r="N236" s="78"/>
      <c r="O236" s="78"/>
      <c r="P236" s="78"/>
      <c r="Q236" s="78"/>
      <c r="R236" s="78"/>
      <c r="S236" s="80" t="str">
        <f t="shared" si="1"/>
        <v/>
      </c>
      <c r="T236" s="80" t="str">
        <f t="shared" si="2"/>
        <v/>
      </c>
      <c r="U236" s="81"/>
      <c r="V236" s="81"/>
      <c r="W236" s="81"/>
      <c r="X236" s="81"/>
      <c r="Y236" s="81"/>
      <c r="Z236" s="81"/>
      <c r="AA236" s="82" t="str">
        <f t="shared" si="3"/>
        <v/>
      </c>
      <c r="AB236" s="82" t="str">
        <f t="shared" si="4"/>
        <v/>
      </c>
      <c r="AC236" s="82" t="str">
        <f t="shared" si="5"/>
        <v/>
      </c>
      <c r="AD236" s="82" t="str">
        <f t="shared" si="6"/>
        <v/>
      </c>
      <c r="AE236" s="83">
        <f t="shared" si="7"/>
        <v>0</v>
      </c>
      <c r="AF236" s="83">
        <f t="shared" si="8"/>
        <v>0</v>
      </c>
      <c r="AG236" s="79"/>
      <c r="AH236" s="78"/>
      <c r="AI236" s="78"/>
    </row>
    <row r="237" ht="15.75" customHeight="1">
      <c r="A237" s="78"/>
      <c r="B237" s="79"/>
      <c r="C237" s="78"/>
      <c r="D237" s="78"/>
      <c r="E237" s="78"/>
      <c r="F237" s="78"/>
      <c r="G237" s="78"/>
      <c r="H237" s="78"/>
      <c r="I237" s="78"/>
      <c r="J237" s="78"/>
      <c r="K237" s="78"/>
      <c r="L237" s="79"/>
      <c r="M237" s="78"/>
      <c r="N237" s="78"/>
      <c r="O237" s="78"/>
      <c r="P237" s="78"/>
      <c r="Q237" s="78"/>
      <c r="R237" s="78"/>
      <c r="S237" s="80" t="str">
        <f t="shared" si="1"/>
        <v/>
      </c>
      <c r="T237" s="80" t="str">
        <f t="shared" si="2"/>
        <v/>
      </c>
      <c r="U237" s="81"/>
      <c r="V237" s="81"/>
      <c r="W237" s="81"/>
      <c r="X237" s="81"/>
      <c r="Y237" s="81"/>
      <c r="Z237" s="81"/>
      <c r="AA237" s="82" t="str">
        <f t="shared" si="3"/>
        <v/>
      </c>
      <c r="AB237" s="82" t="str">
        <f t="shared" si="4"/>
        <v/>
      </c>
      <c r="AC237" s="82" t="str">
        <f t="shared" si="5"/>
        <v/>
      </c>
      <c r="AD237" s="82" t="str">
        <f t="shared" si="6"/>
        <v/>
      </c>
      <c r="AE237" s="83">
        <f t="shared" si="7"/>
        <v>0</v>
      </c>
      <c r="AF237" s="83">
        <f t="shared" si="8"/>
        <v>0</v>
      </c>
      <c r="AG237" s="79"/>
      <c r="AH237" s="78"/>
      <c r="AI237" s="78"/>
    </row>
    <row r="238" ht="15.75" customHeight="1">
      <c r="A238" s="78"/>
      <c r="B238" s="79"/>
      <c r="C238" s="78"/>
      <c r="D238" s="78"/>
      <c r="E238" s="78"/>
      <c r="F238" s="78"/>
      <c r="G238" s="78"/>
      <c r="H238" s="78"/>
      <c r="I238" s="78"/>
      <c r="J238" s="78"/>
      <c r="K238" s="78"/>
      <c r="L238" s="79"/>
      <c r="M238" s="78"/>
      <c r="N238" s="78"/>
      <c r="O238" s="78"/>
      <c r="P238" s="78"/>
      <c r="Q238" s="78"/>
      <c r="R238" s="78"/>
      <c r="S238" s="80" t="str">
        <f t="shared" si="1"/>
        <v/>
      </c>
      <c r="T238" s="80" t="str">
        <f t="shared" si="2"/>
        <v/>
      </c>
      <c r="U238" s="81"/>
      <c r="V238" s="81"/>
      <c r="W238" s="81"/>
      <c r="X238" s="81"/>
      <c r="Y238" s="81"/>
      <c r="Z238" s="81"/>
      <c r="AA238" s="82" t="str">
        <f t="shared" si="3"/>
        <v/>
      </c>
      <c r="AB238" s="82" t="str">
        <f t="shared" si="4"/>
        <v/>
      </c>
      <c r="AC238" s="82" t="str">
        <f t="shared" si="5"/>
        <v/>
      </c>
      <c r="AD238" s="82" t="str">
        <f t="shared" si="6"/>
        <v/>
      </c>
      <c r="AE238" s="83">
        <f t="shared" si="7"/>
        <v>0</v>
      </c>
      <c r="AF238" s="83">
        <f t="shared" si="8"/>
        <v>0</v>
      </c>
      <c r="AG238" s="79"/>
      <c r="AH238" s="78"/>
      <c r="AI238" s="78"/>
    </row>
    <row r="239" ht="15.75" customHeight="1">
      <c r="A239" s="78"/>
      <c r="B239" s="79"/>
      <c r="C239" s="78"/>
      <c r="D239" s="78"/>
      <c r="E239" s="78"/>
      <c r="F239" s="78"/>
      <c r="G239" s="78"/>
      <c r="H239" s="78"/>
      <c r="I239" s="78"/>
      <c r="J239" s="78"/>
      <c r="K239" s="78"/>
      <c r="L239" s="79"/>
      <c r="M239" s="78"/>
      <c r="N239" s="78"/>
      <c r="O239" s="78"/>
      <c r="P239" s="78"/>
      <c r="Q239" s="78"/>
      <c r="R239" s="78"/>
      <c r="S239" s="80" t="str">
        <f t="shared" si="1"/>
        <v/>
      </c>
      <c r="T239" s="80" t="str">
        <f t="shared" si="2"/>
        <v/>
      </c>
      <c r="U239" s="81"/>
      <c r="V239" s="81"/>
      <c r="W239" s="81"/>
      <c r="X239" s="81"/>
      <c r="Y239" s="81"/>
      <c r="Z239" s="81"/>
      <c r="AA239" s="82" t="str">
        <f t="shared" si="3"/>
        <v/>
      </c>
      <c r="AB239" s="82" t="str">
        <f t="shared" si="4"/>
        <v/>
      </c>
      <c r="AC239" s="82" t="str">
        <f t="shared" si="5"/>
        <v/>
      </c>
      <c r="AD239" s="82" t="str">
        <f t="shared" si="6"/>
        <v/>
      </c>
      <c r="AE239" s="83">
        <f t="shared" si="7"/>
        <v>0</v>
      </c>
      <c r="AF239" s="83">
        <f t="shared" si="8"/>
        <v>0</v>
      </c>
      <c r="AG239" s="79"/>
      <c r="AH239" s="78"/>
      <c r="AI239" s="78"/>
    </row>
    <row r="240" ht="15.75" customHeight="1">
      <c r="A240" s="78"/>
      <c r="B240" s="79"/>
      <c r="C240" s="78"/>
      <c r="D240" s="78"/>
      <c r="E240" s="78"/>
      <c r="F240" s="78"/>
      <c r="G240" s="78"/>
      <c r="H240" s="78"/>
      <c r="I240" s="78"/>
      <c r="J240" s="78"/>
      <c r="K240" s="78"/>
      <c r="L240" s="79"/>
      <c r="M240" s="78"/>
      <c r="N240" s="78"/>
      <c r="O240" s="78"/>
      <c r="P240" s="78"/>
      <c r="Q240" s="78"/>
      <c r="R240" s="78"/>
      <c r="S240" s="80" t="str">
        <f t="shared" si="1"/>
        <v/>
      </c>
      <c r="T240" s="80" t="str">
        <f t="shared" si="2"/>
        <v/>
      </c>
      <c r="U240" s="81"/>
      <c r="V240" s="81"/>
      <c r="W240" s="81"/>
      <c r="X240" s="81"/>
      <c r="Y240" s="81"/>
      <c r="Z240" s="81"/>
      <c r="AA240" s="82" t="str">
        <f t="shared" si="3"/>
        <v/>
      </c>
      <c r="AB240" s="82" t="str">
        <f t="shared" si="4"/>
        <v/>
      </c>
      <c r="AC240" s="82" t="str">
        <f t="shared" si="5"/>
        <v/>
      </c>
      <c r="AD240" s="82" t="str">
        <f t="shared" si="6"/>
        <v/>
      </c>
      <c r="AE240" s="83">
        <f t="shared" si="7"/>
        <v>0</v>
      </c>
      <c r="AF240" s="83">
        <f t="shared" si="8"/>
        <v>0</v>
      </c>
      <c r="AG240" s="79"/>
      <c r="AH240" s="78"/>
      <c r="AI240" s="78"/>
    </row>
    <row r="241" ht="15.75" customHeight="1">
      <c r="A241" s="78"/>
      <c r="B241" s="79"/>
      <c r="C241" s="78"/>
      <c r="D241" s="78"/>
      <c r="E241" s="78"/>
      <c r="F241" s="78"/>
      <c r="G241" s="78"/>
      <c r="H241" s="78"/>
      <c r="I241" s="78"/>
      <c r="J241" s="78"/>
      <c r="K241" s="78"/>
      <c r="L241" s="79"/>
      <c r="M241" s="78"/>
      <c r="N241" s="78"/>
      <c r="O241" s="78"/>
      <c r="P241" s="78"/>
      <c r="Q241" s="78"/>
      <c r="R241" s="78"/>
      <c r="S241" s="80" t="str">
        <f t="shared" si="1"/>
        <v/>
      </c>
      <c r="T241" s="80" t="str">
        <f t="shared" si="2"/>
        <v/>
      </c>
      <c r="U241" s="81"/>
      <c r="V241" s="81"/>
      <c r="W241" s="81"/>
      <c r="X241" s="81"/>
      <c r="Y241" s="81"/>
      <c r="Z241" s="81"/>
      <c r="AA241" s="82" t="str">
        <f t="shared" si="3"/>
        <v/>
      </c>
      <c r="AB241" s="82" t="str">
        <f t="shared" si="4"/>
        <v/>
      </c>
      <c r="AC241" s="82" t="str">
        <f t="shared" si="5"/>
        <v/>
      </c>
      <c r="AD241" s="82" t="str">
        <f t="shared" si="6"/>
        <v/>
      </c>
      <c r="AE241" s="83">
        <f t="shared" si="7"/>
        <v>0</v>
      </c>
      <c r="AF241" s="83">
        <f t="shared" si="8"/>
        <v>0</v>
      </c>
      <c r="AG241" s="79"/>
      <c r="AH241" s="78"/>
      <c r="AI241" s="78"/>
    </row>
    <row r="242" ht="15.75" customHeight="1">
      <c r="A242" s="78"/>
      <c r="B242" s="79"/>
      <c r="C242" s="78"/>
      <c r="D242" s="78"/>
      <c r="E242" s="78"/>
      <c r="F242" s="78"/>
      <c r="G242" s="78"/>
      <c r="H242" s="78"/>
      <c r="I242" s="78"/>
      <c r="J242" s="78"/>
      <c r="K242" s="78"/>
      <c r="L242" s="79"/>
      <c r="M242" s="78"/>
      <c r="N242" s="78"/>
      <c r="O242" s="78"/>
      <c r="P242" s="78"/>
      <c r="Q242" s="78"/>
      <c r="R242" s="78"/>
      <c r="S242" s="80" t="str">
        <f t="shared" si="1"/>
        <v/>
      </c>
      <c r="T242" s="80" t="str">
        <f t="shared" si="2"/>
        <v/>
      </c>
      <c r="U242" s="81"/>
      <c r="V242" s="81"/>
      <c r="W242" s="81"/>
      <c r="X242" s="81"/>
      <c r="Y242" s="81"/>
      <c r="Z242" s="81"/>
      <c r="AA242" s="82" t="str">
        <f t="shared" si="3"/>
        <v/>
      </c>
      <c r="AB242" s="82" t="str">
        <f t="shared" si="4"/>
        <v/>
      </c>
      <c r="AC242" s="82" t="str">
        <f t="shared" si="5"/>
        <v/>
      </c>
      <c r="AD242" s="82" t="str">
        <f t="shared" si="6"/>
        <v/>
      </c>
      <c r="AE242" s="83">
        <f t="shared" si="7"/>
        <v>0</v>
      </c>
      <c r="AF242" s="83">
        <f t="shared" si="8"/>
        <v>0</v>
      </c>
      <c r="AG242" s="79"/>
      <c r="AH242" s="78"/>
      <c r="AI242" s="78"/>
    </row>
    <row r="243" ht="15.75" customHeight="1">
      <c r="A243" s="78"/>
      <c r="B243" s="79"/>
      <c r="C243" s="78"/>
      <c r="D243" s="78"/>
      <c r="E243" s="78"/>
      <c r="F243" s="78"/>
      <c r="G243" s="78"/>
      <c r="H243" s="78"/>
      <c r="I243" s="78"/>
      <c r="J243" s="78"/>
      <c r="K243" s="78"/>
      <c r="L243" s="79"/>
      <c r="M243" s="78"/>
      <c r="N243" s="78"/>
      <c r="O243" s="78"/>
      <c r="P243" s="78"/>
      <c r="Q243" s="78"/>
      <c r="R243" s="78"/>
      <c r="S243" s="80" t="str">
        <f t="shared" si="1"/>
        <v/>
      </c>
      <c r="T243" s="80" t="str">
        <f t="shared" si="2"/>
        <v/>
      </c>
      <c r="U243" s="81"/>
      <c r="V243" s="81"/>
      <c r="W243" s="81"/>
      <c r="X243" s="81"/>
      <c r="Y243" s="81"/>
      <c r="Z243" s="81"/>
      <c r="AA243" s="82" t="str">
        <f t="shared" si="3"/>
        <v/>
      </c>
      <c r="AB243" s="82" t="str">
        <f t="shared" si="4"/>
        <v/>
      </c>
      <c r="AC243" s="82" t="str">
        <f t="shared" si="5"/>
        <v/>
      </c>
      <c r="AD243" s="82" t="str">
        <f t="shared" si="6"/>
        <v/>
      </c>
      <c r="AE243" s="83">
        <f t="shared" si="7"/>
        <v>0</v>
      </c>
      <c r="AF243" s="83">
        <f t="shared" si="8"/>
        <v>0</v>
      </c>
      <c r="AG243" s="79"/>
      <c r="AH243" s="78"/>
      <c r="AI243" s="78"/>
    </row>
    <row r="244" ht="15.75" customHeight="1">
      <c r="A244" s="78"/>
      <c r="B244" s="79"/>
      <c r="C244" s="78"/>
      <c r="D244" s="78"/>
      <c r="E244" s="78"/>
      <c r="F244" s="78"/>
      <c r="G244" s="78"/>
      <c r="H244" s="78"/>
      <c r="I244" s="78"/>
      <c r="J244" s="78"/>
      <c r="K244" s="78"/>
      <c r="L244" s="79"/>
      <c r="M244" s="78"/>
      <c r="N244" s="78"/>
      <c r="O244" s="78"/>
      <c r="P244" s="78"/>
      <c r="Q244" s="78"/>
      <c r="R244" s="78"/>
      <c r="S244" s="80" t="str">
        <f t="shared" si="1"/>
        <v/>
      </c>
      <c r="T244" s="80" t="str">
        <f t="shared" si="2"/>
        <v/>
      </c>
      <c r="U244" s="81"/>
      <c r="V244" s="81"/>
      <c r="W244" s="81"/>
      <c r="X244" s="81"/>
      <c r="Y244" s="81"/>
      <c r="Z244" s="81"/>
      <c r="AA244" s="82" t="str">
        <f t="shared" si="3"/>
        <v/>
      </c>
      <c r="AB244" s="82" t="str">
        <f t="shared" si="4"/>
        <v/>
      </c>
      <c r="AC244" s="82" t="str">
        <f t="shared" si="5"/>
        <v/>
      </c>
      <c r="AD244" s="82" t="str">
        <f t="shared" si="6"/>
        <v/>
      </c>
      <c r="AE244" s="83">
        <f t="shared" si="7"/>
        <v>0</v>
      </c>
      <c r="AF244" s="83">
        <f t="shared" si="8"/>
        <v>0</v>
      </c>
      <c r="AG244" s="79"/>
      <c r="AH244" s="78"/>
      <c r="AI244" s="78"/>
    </row>
    <row r="245" ht="15.75" customHeight="1">
      <c r="A245" s="78"/>
      <c r="B245" s="79"/>
      <c r="C245" s="78"/>
      <c r="D245" s="78"/>
      <c r="E245" s="78"/>
      <c r="F245" s="78"/>
      <c r="G245" s="78"/>
      <c r="H245" s="78"/>
      <c r="I245" s="78"/>
      <c r="J245" s="78"/>
      <c r="K245" s="78"/>
      <c r="L245" s="79"/>
      <c r="M245" s="78"/>
      <c r="N245" s="78"/>
      <c r="O245" s="78"/>
      <c r="P245" s="78"/>
      <c r="Q245" s="78"/>
      <c r="R245" s="78"/>
      <c r="S245" s="80" t="str">
        <f t="shared" si="1"/>
        <v/>
      </c>
      <c r="T245" s="80" t="str">
        <f t="shared" si="2"/>
        <v/>
      </c>
      <c r="U245" s="81"/>
      <c r="V245" s="81"/>
      <c r="W245" s="81"/>
      <c r="X245" s="81"/>
      <c r="Y245" s="81"/>
      <c r="Z245" s="81"/>
      <c r="AA245" s="82" t="str">
        <f t="shared" si="3"/>
        <v/>
      </c>
      <c r="AB245" s="82" t="str">
        <f t="shared" si="4"/>
        <v/>
      </c>
      <c r="AC245" s="82" t="str">
        <f t="shared" si="5"/>
        <v/>
      </c>
      <c r="AD245" s="82" t="str">
        <f t="shared" si="6"/>
        <v/>
      </c>
      <c r="AE245" s="83">
        <f t="shared" si="7"/>
        <v>0</v>
      </c>
      <c r="AF245" s="83">
        <f t="shared" si="8"/>
        <v>0</v>
      </c>
      <c r="AG245" s="79"/>
      <c r="AH245" s="78"/>
      <c r="AI245" s="78"/>
    </row>
    <row r="246" ht="15.75" customHeight="1">
      <c r="A246" s="78"/>
      <c r="B246" s="79"/>
      <c r="C246" s="78"/>
      <c r="D246" s="78"/>
      <c r="E246" s="78"/>
      <c r="F246" s="78"/>
      <c r="G246" s="78"/>
      <c r="H246" s="78"/>
      <c r="I246" s="78"/>
      <c r="J246" s="78"/>
      <c r="K246" s="78"/>
      <c r="L246" s="79"/>
      <c r="M246" s="78"/>
      <c r="N246" s="78"/>
      <c r="O246" s="78"/>
      <c r="P246" s="78"/>
      <c r="Q246" s="78"/>
      <c r="R246" s="78"/>
      <c r="S246" s="80" t="str">
        <f t="shared" si="1"/>
        <v/>
      </c>
      <c r="T246" s="80" t="str">
        <f t="shared" si="2"/>
        <v/>
      </c>
      <c r="U246" s="81"/>
      <c r="V246" s="81"/>
      <c r="W246" s="81"/>
      <c r="X246" s="81"/>
      <c r="Y246" s="81"/>
      <c r="Z246" s="81"/>
      <c r="AA246" s="82" t="str">
        <f t="shared" si="3"/>
        <v/>
      </c>
      <c r="AB246" s="82" t="str">
        <f t="shared" si="4"/>
        <v/>
      </c>
      <c r="AC246" s="82" t="str">
        <f t="shared" si="5"/>
        <v/>
      </c>
      <c r="AD246" s="82" t="str">
        <f t="shared" si="6"/>
        <v/>
      </c>
      <c r="AE246" s="83">
        <f t="shared" si="7"/>
        <v>0</v>
      </c>
      <c r="AF246" s="83">
        <f t="shared" si="8"/>
        <v>0</v>
      </c>
      <c r="AG246" s="79"/>
      <c r="AH246" s="78"/>
      <c r="AI246" s="78"/>
    </row>
    <row r="247" ht="15.75" customHeight="1">
      <c r="A247" s="78"/>
      <c r="B247" s="79"/>
      <c r="C247" s="78"/>
      <c r="D247" s="78"/>
      <c r="E247" s="78"/>
      <c r="F247" s="78"/>
      <c r="G247" s="78"/>
      <c r="H247" s="78"/>
      <c r="I247" s="78"/>
      <c r="J247" s="78"/>
      <c r="K247" s="78"/>
      <c r="L247" s="79"/>
      <c r="M247" s="78"/>
      <c r="N247" s="78"/>
      <c r="O247" s="78"/>
      <c r="P247" s="78"/>
      <c r="Q247" s="78"/>
      <c r="R247" s="78"/>
      <c r="S247" s="80" t="str">
        <f t="shared" si="1"/>
        <v/>
      </c>
      <c r="T247" s="80" t="str">
        <f t="shared" si="2"/>
        <v/>
      </c>
      <c r="U247" s="81"/>
      <c r="V247" s="81"/>
      <c r="W247" s="81"/>
      <c r="X247" s="81"/>
      <c r="Y247" s="81"/>
      <c r="Z247" s="81"/>
      <c r="AA247" s="82" t="str">
        <f t="shared" si="3"/>
        <v/>
      </c>
      <c r="AB247" s="82" t="str">
        <f t="shared" si="4"/>
        <v/>
      </c>
      <c r="AC247" s="82" t="str">
        <f t="shared" si="5"/>
        <v/>
      </c>
      <c r="AD247" s="82" t="str">
        <f t="shared" si="6"/>
        <v/>
      </c>
      <c r="AE247" s="83">
        <f t="shared" si="7"/>
        <v>0</v>
      </c>
      <c r="AF247" s="83">
        <f t="shared" si="8"/>
        <v>0</v>
      </c>
      <c r="AG247" s="79"/>
      <c r="AH247" s="78"/>
      <c r="AI247" s="78"/>
    </row>
    <row r="248" ht="15.75" customHeight="1">
      <c r="A248" s="78"/>
      <c r="B248" s="79"/>
      <c r="C248" s="78"/>
      <c r="D248" s="78"/>
      <c r="E248" s="78"/>
      <c r="F248" s="78"/>
      <c r="G248" s="78"/>
      <c r="H248" s="78"/>
      <c r="I248" s="78"/>
      <c r="J248" s="78"/>
      <c r="K248" s="78"/>
      <c r="L248" s="79"/>
      <c r="M248" s="78"/>
      <c r="N248" s="78"/>
      <c r="O248" s="78"/>
      <c r="P248" s="78"/>
      <c r="Q248" s="78"/>
      <c r="R248" s="78"/>
      <c r="S248" s="80" t="str">
        <f t="shared" si="1"/>
        <v/>
      </c>
      <c r="T248" s="80" t="str">
        <f t="shared" si="2"/>
        <v/>
      </c>
      <c r="U248" s="81"/>
      <c r="V248" s="81"/>
      <c r="W248" s="81"/>
      <c r="X248" s="81"/>
      <c r="Y248" s="81"/>
      <c r="Z248" s="81"/>
      <c r="AA248" s="82" t="str">
        <f t="shared" si="3"/>
        <v/>
      </c>
      <c r="AB248" s="82" t="str">
        <f t="shared" si="4"/>
        <v/>
      </c>
      <c r="AC248" s="82" t="str">
        <f t="shared" si="5"/>
        <v/>
      </c>
      <c r="AD248" s="82" t="str">
        <f t="shared" si="6"/>
        <v/>
      </c>
      <c r="AE248" s="83">
        <f t="shared" si="7"/>
        <v>0</v>
      </c>
      <c r="AF248" s="83">
        <f t="shared" si="8"/>
        <v>0</v>
      </c>
      <c r="AG248" s="79"/>
      <c r="AH248" s="78"/>
      <c r="AI248" s="78"/>
    </row>
    <row r="249" ht="15.75" customHeight="1">
      <c r="A249" s="78"/>
      <c r="B249" s="79"/>
      <c r="C249" s="78"/>
      <c r="D249" s="78"/>
      <c r="E249" s="78"/>
      <c r="F249" s="78"/>
      <c r="G249" s="78"/>
      <c r="H249" s="78"/>
      <c r="I249" s="78"/>
      <c r="J249" s="78"/>
      <c r="K249" s="78"/>
      <c r="L249" s="79"/>
      <c r="M249" s="78"/>
      <c r="N249" s="78"/>
      <c r="O249" s="78"/>
      <c r="P249" s="78"/>
      <c r="Q249" s="78"/>
      <c r="R249" s="78"/>
      <c r="S249" s="80" t="str">
        <f t="shared" si="1"/>
        <v/>
      </c>
      <c r="T249" s="80" t="str">
        <f t="shared" si="2"/>
        <v/>
      </c>
      <c r="U249" s="81"/>
      <c r="V249" s="81"/>
      <c r="W249" s="81"/>
      <c r="X249" s="81"/>
      <c r="Y249" s="81"/>
      <c r="Z249" s="81"/>
      <c r="AA249" s="82" t="str">
        <f t="shared" si="3"/>
        <v/>
      </c>
      <c r="AB249" s="82" t="str">
        <f t="shared" si="4"/>
        <v/>
      </c>
      <c r="AC249" s="82" t="str">
        <f t="shared" si="5"/>
        <v/>
      </c>
      <c r="AD249" s="82" t="str">
        <f t="shared" si="6"/>
        <v/>
      </c>
      <c r="AE249" s="83">
        <f t="shared" si="7"/>
        <v>0</v>
      </c>
      <c r="AF249" s="83">
        <f t="shared" si="8"/>
        <v>0</v>
      </c>
      <c r="AG249" s="79"/>
      <c r="AH249" s="78"/>
      <c r="AI249" s="78"/>
    </row>
    <row r="250" ht="15.75" customHeight="1">
      <c r="A250" s="78"/>
      <c r="B250" s="79"/>
      <c r="C250" s="78"/>
      <c r="D250" s="78"/>
      <c r="E250" s="78"/>
      <c r="F250" s="78"/>
      <c r="G250" s="78"/>
      <c r="H250" s="78"/>
      <c r="I250" s="78"/>
      <c r="J250" s="78"/>
      <c r="K250" s="78"/>
      <c r="L250" s="79"/>
      <c r="M250" s="78"/>
      <c r="N250" s="78"/>
      <c r="O250" s="78"/>
      <c r="P250" s="78"/>
      <c r="Q250" s="78"/>
      <c r="R250" s="78"/>
      <c r="S250" s="80" t="str">
        <f t="shared" si="1"/>
        <v/>
      </c>
      <c r="T250" s="80" t="str">
        <f t="shared" si="2"/>
        <v/>
      </c>
      <c r="U250" s="81"/>
      <c r="V250" s="81"/>
      <c r="W250" s="81"/>
      <c r="X250" s="81"/>
      <c r="Y250" s="81"/>
      <c r="Z250" s="81"/>
      <c r="AA250" s="82" t="str">
        <f t="shared" si="3"/>
        <v/>
      </c>
      <c r="AB250" s="82" t="str">
        <f t="shared" si="4"/>
        <v/>
      </c>
      <c r="AC250" s="82" t="str">
        <f t="shared" si="5"/>
        <v/>
      </c>
      <c r="AD250" s="82" t="str">
        <f t="shared" si="6"/>
        <v/>
      </c>
      <c r="AE250" s="83">
        <f t="shared" si="7"/>
        <v>0</v>
      </c>
      <c r="AF250" s="83">
        <f t="shared" si="8"/>
        <v>0</v>
      </c>
      <c r="AG250" s="79"/>
      <c r="AH250" s="78"/>
      <c r="AI250" s="78"/>
    </row>
    <row r="251" ht="15.75" customHeight="1">
      <c r="A251" s="78"/>
      <c r="B251" s="79"/>
      <c r="C251" s="78"/>
      <c r="D251" s="78"/>
      <c r="E251" s="78"/>
      <c r="F251" s="78"/>
      <c r="G251" s="78"/>
      <c r="H251" s="78"/>
      <c r="I251" s="78"/>
      <c r="J251" s="78"/>
      <c r="K251" s="78"/>
      <c r="L251" s="79"/>
      <c r="M251" s="78"/>
      <c r="N251" s="78"/>
      <c r="O251" s="78"/>
      <c r="P251" s="78"/>
      <c r="Q251" s="78"/>
      <c r="R251" s="78"/>
      <c r="S251" s="80" t="str">
        <f t="shared" si="1"/>
        <v/>
      </c>
      <c r="T251" s="80" t="str">
        <f t="shared" si="2"/>
        <v/>
      </c>
      <c r="U251" s="81"/>
      <c r="V251" s="81"/>
      <c r="W251" s="81"/>
      <c r="X251" s="81"/>
      <c r="Y251" s="81"/>
      <c r="Z251" s="81"/>
      <c r="AA251" s="82" t="str">
        <f t="shared" si="3"/>
        <v/>
      </c>
      <c r="AB251" s="82" t="str">
        <f t="shared" si="4"/>
        <v/>
      </c>
      <c r="AC251" s="82" t="str">
        <f t="shared" si="5"/>
        <v/>
      </c>
      <c r="AD251" s="82" t="str">
        <f t="shared" si="6"/>
        <v/>
      </c>
      <c r="AE251" s="83">
        <f t="shared" si="7"/>
        <v>0</v>
      </c>
      <c r="AF251" s="83">
        <f t="shared" si="8"/>
        <v>0</v>
      </c>
      <c r="AG251" s="79"/>
      <c r="AH251" s="78"/>
      <c r="AI251" s="78"/>
    </row>
    <row r="252" ht="15.75" customHeight="1">
      <c r="A252" s="78"/>
      <c r="B252" s="79"/>
      <c r="C252" s="78"/>
      <c r="D252" s="78"/>
      <c r="E252" s="78"/>
      <c r="F252" s="78"/>
      <c r="G252" s="78"/>
      <c r="H252" s="78"/>
      <c r="I252" s="78"/>
      <c r="J252" s="78"/>
      <c r="K252" s="78"/>
      <c r="L252" s="79"/>
      <c r="M252" s="78"/>
      <c r="N252" s="78"/>
      <c r="O252" s="78"/>
      <c r="P252" s="78"/>
      <c r="Q252" s="78"/>
      <c r="R252" s="78"/>
      <c r="S252" s="80" t="str">
        <f t="shared" si="1"/>
        <v/>
      </c>
      <c r="T252" s="80" t="str">
        <f t="shared" si="2"/>
        <v/>
      </c>
      <c r="U252" s="81"/>
      <c r="V252" s="81"/>
      <c r="W252" s="81"/>
      <c r="X252" s="81"/>
      <c r="Y252" s="81"/>
      <c r="Z252" s="81"/>
      <c r="AA252" s="82" t="str">
        <f t="shared" si="3"/>
        <v/>
      </c>
      <c r="AB252" s="82" t="str">
        <f t="shared" si="4"/>
        <v/>
      </c>
      <c r="AC252" s="82" t="str">
        <f t="shared" si="5"/>
        <v/>
      </c>
      <c r="AD252" s="82" t="str">
        <f t="shared" si="6"/>
        <v/>
      </c>
      <c r="AE252" s="83">
        <f t="shared" si="7"/>
        <v>0</v>
      </c>
      <c r="AF252" s="83">
        <f t="shared" si="8"/>
        <v>0</v>
      </c>
      <c r="AG252" s="79"/>
      <c r="AH252" s="78"/>
      <c r="AI252" s="78"/>
    </row>
    <row r="253" ht="15.75" customHeight="1">
      <c r="A253" s="78"/>
      <c r="B253" s="79"/>
      <c r="C253" s="78"/>
      <c r="D253" s="78"/>
      <c r="E253" s="78"/>
      <c r="F253" s="78"/>
      <c r="G253" s="78"/>
      <c r="H253" s="78"/>
      <c r="I253" s="78"/>
      <c r="J253" s="78"/>
      <c r="K253" s="78"/>
      <c r="L253" s="79"/>
      <c r="M253" s="78"/>
      <c r="N253" s="78"/>
      <c r="O253" s="78"/>
      <c r="P253" s="78"/>
      <c r="Q253" s="78"/>
      <c r="R253" s="78"/>
      <c r="S253" s="80" t="str">
        <f t="shared" si="1"/>
        <v/>
      </c>
      <c r="T253" s="80" t="str">
        <f t="shared" si="2"/>
        <v/>
      </c>
      <c r="U253" s="81"/>
      <c r="V253" s="81"/>
      <c r="W253" s="81"/>
      <c r="X253" s="81"/>
      <c r="Y253" s="81"/>
      <c r="Z253" s="81"/>
      <c r="AA253" s="82" t="str">
        <f t="shared" si="3"/>
        <v/>
      </c>
      <c r="AB253" s="82" t="str">
        <f t="shared" si="4"/>
        <v/>
      </c>
      <c r="AC253" s="82" t="str">
        <f t="shared" si="5"/>
        <v/>
      </c>
      <c r="AD253" s="82" t="str">
        <f t="shared" si="6"/>
        <v/>
      </c>
      <c r="AE253" s="83">
        <f t="shared" si="7"/>
        <v>0</v>
      </c>
      <c r="AF253" s="83">
        <f t="shared" si="8"/>
        <v>0</v>
      </c>
      <c r="AG253" s="79"/>
      <c r="AH253" s="78"/>
      <c r="AI253" s="78"/>
    </row>
    <row r="254" ht="15.75" customHeight="1">
      <c r="A254" s="78"/>
      <c r="B254" s="79"/>
      <c r="C254" s="78"/>
      <c r="D254" s="78"/>
      <c r="E254" s="78"/>
      <c r="F254" s="78"/>
      <c r="G254" s="78"/>
      <c r="H254" s="78"/>
      <c r="I254" s="78"/>
      <c r="J254" s="78"/>
      <c r="K254" s="78"/>
      <c r="L254" s="79"/>
      <c r="M254" s="78"/>
      <c r="N254" s="78"/>
      <c r="O254" s="78"/>
      <c r="P254" s="78"/>
      <c r="Q254" s="78"/>
      <c r="R254" s="78"/>
      <c r="S254" s="80" t="str">
        <f t="shared" si="1"/>
        <v/>
      </c>
      <c r="T254" s="80" t="str">
        <f t="shared" si="2"/>
        <v/>
      </c>
      <c r="U254" s="81"/>
      <c r="V254" s="81"/>
      <c r="W254" s="81"/>
      <c r="X254" s="81"/>
      <c r="Y254" s="81"/>
      <c r="Z254" s="81"/>
      <c r="AA254" s="82" t="str">
        <f t="shared" si="3"/>
        <v/>
      </c>
      <c r="AB254" s="82" t="str">
        <f t="shared" si="4"/>
        <v/>
      </c>
      <c r="AC254" s="82" t="str">
        <f t="shared" si="5"/>
        <v/>
      </c>
      <c r="AD254" s="82" t="str">
        <f t="shared" si="6"/>
        <v/>
      </c>
      <c r="AE254" s="83">
        <f t="shared" si="7"/>
        <v>0</v>
      </c>
      <c r="AF254" s="83">
        <f t="shared" si="8"/>
        <v>0</v>
      </c>
      <c r="AG254" s="79"/>
      <c r="AH254" s="78"/>
      <c r="AI254" s="78"/>
    </row>
    <row r="255" ht="15.75" customHeight="1">
      <c r="A255" s="78"/>
      <c r="B255" s="79"/>
      <c r="C255" s="78"/>
      <c r="D255" s="78"/>
      <c r="E255" s="78"/>
      <c r="F255" s="78"/>
      <c r="G255" s="78"/>
      <c r="H255" s="78"/>
      <c r="I255" s="78"/>
      <c r="J255" s="78"/>
      <c r="K255" s="78"/>
      <c r="L255" s="79"/>
      <c r="M255" s="78"/>
      <c r="N255" s="78"/>
      <c r="O255" s="78"/>
      <c r="P255" s="78"/>
      <c r="Q255" s="78"/>
      <c r="R255" s="78"/>
      <c r="S255" s="80" t="str">
        <f t="shared" si="1"/>
        <v/>
      </c>
      <c r="T255" s="80" t="str">
        <f t="shared" si="2"/>
        <v/>
      </c>
      <c r="U255" s="81"/>
      <c r="V255" s="81"/>
      <c r="W255" s="81"/>
      <c r="X255" s="81"/>
      <c r="Y255" s="81"/>
      <c r="Z255" s="81"/>
      <c r="AA255" s="82" t="str">
        <f t="shared" si="3"/>
        <v/>
      </c>
      <c r="AB255" s="82" t="str">
        <f t="shared" si="4"/>
        <v/>
      </c>
      <c r="AC255" s="82" t="str">
        <f t="shared" si="5"/>
        <v/>
      </c>
      <c r="AD255" s="82" t="str">
        <f t="shared" si="6"/>
        <v/>
      </c>
      <c r="AE255" s="83">
        <f t="shared" si="7"/>
        <v>0</v>
      </c>
      <c r="AF255" s="83">
        <f t="shared" si="8"/>
        <v>0</v>
      </c>
      <c r="AG255" s="79"/>
      <c r="AH255" s="78"/>
      <c r="AI255" s="78"/>
    </row>
    <row r="256" ht="15.75" customHeight="1">
      <c r="A256" s="78"/>
      <c r="B256" s="79"/>
      <c r="C256" s="78"/>
      <c r="D256" s="78"/>
      <c r="E256" s="78"/>
      <c r="F256" s="78"/>
      <c r="G256" s="78"/>
      <c r="H256" s="78"/>
      <c r="I256" s="78"/>
      <c r="J256" s="78"/>
      <c r="K256" s="78"/>
      <c r="L256" s="79"/>
      <c r="M256" s="78"/>
      <c r="N256" s="78"/>
      <c r="O256" s="78"/>
      <c r="P256" s="78"/>
      <c r="Q256" s="78"/>
      <c r="R256" s="78"/>
      <c r="S256" s="80" t="str">
        <f t="shared" si="1"/>
        <v/>
      </c>
      <c r="T256" s="80" t="str">
        <f t="shared" si="2"/>
        <v/>
      </c>
      <c r="U256" s="81"/>
      <c r="V256" s="81"/>
      <c r="W256" s="81"/>
      <c r="X256" s="81"/>
      <c r="Y256" s="81"/>
      <c r="Z256" s="81"/>
      <c r="AA256" s="82" t="str">
        <f t="shared" si="3"/>
        <v/>
      </c>
      <c r="AB256" s="82" t="str">
        <f t="shared" si="4"/>
        <v/>
      </c>
      <c r="AC256" s="82" t="str">
        <f t="shared" si="5"/>
        <v/>
      </c>
      <c r="AD256" s="82" t="str">
        <f t="shared" si="6"/>
        <v/>
      </c>
      <c r="AE256" s="83">
        <f t="shared" si="7"/>
        <v>0</v>
      </c>
      <c r="AF256" s="83">
        <f t="shared" si="8"/>
        <v>0</v>
      </c>
      <c r="AG256" s="79"/>
      <c r="AH256" s="78"/>
      <c r="AI256" s="78"/>
    </row>
    <row r="257" ht="15.75" customHeight="1">
      <c r="A257" s="78"/>
      <c r="B257" s="79"/>
      <c r="C257" s="78"/>
      <c r="D257" s="78"/>
      <c r="E257" s="78"/>
      <c r="F257" s="78"/>
      <c r="G257" s="78"/>
      <c r="H257" s="78"/>
      <c r="I257" s="78"/>
      <c r="J257" s="78"/>
      <c r="K257" s="78"/>
      <c r="L257" s="79"/>
      <c r="M257" s="78"/>
      <c r="N257" s="78"/>
      <c r="O257" s="78"/>
      <c r="P257" s="78"/>
      <c r="Q257" s="78"/>
      <c r="R257" s="78"/>
      <c r="S257" s="80" t="str">
        <f t="shared" si="1"/>
        <v/>
      </c>
      <c r="T257" s="80" t="str">
        <f t="shared" si="2"/>
        <v/>
      </c>
      <c r="U257" s="81"/>
      <c r="V257" s="81"/>
      <c r="W257" s="81"/>
      <c r="X257" s="81"/>
      <c r="Y257" s="81"/>
      <c r="Z257" s="81"/>
      <c r="AA257" s="82" t="str">
        <f t="shared" si="3"/>
        <v/>
      </c>
      <c r="AB257" s="82" t="str">
        <f t="shared" si="4"/>
        <v/>
      </c>
      <c r="AC257" s="82" t="str">
        <f t="shared" si="5"/>
        <v/>
      </c>
      <c r="AD257" s="82" t="str">
        <f t="shared" si="6"/>
        <v/>
      </c>
      <c r="AE257" s="83">
        <f t="shared" si="7"/>
        <v>0</v>
      </c>
      <c r="AF257" s="83">
        <f t="shared" si="8"/>
        <v>0</v>
      </c>
      <c r="AG257" s="79"/>
      <c r="AH257" s="78"/>
      <c r="AI257" s="78"/>
    </row>
    <row r="258" ht="15.75" customHeight="1">
      <c r="A258" s="78"/>
      <c r="B258" s="79"/>
      <c r="C258" s="78"/>
      <c r="D258" s="78"/>
      <c r="E258" s="78"/>
      <c r="F258" s="78"/>
      <c r="G258" s="78"/>
      <c r="H258" s="78"/>
      <c r="I258" s="78"/>
      <c r="J258" s="78"/>
      <c r="K258" s="78"/>
      <c r="L258" s="79"/>
      <c r="M258" s="78"/>
      <c r="N258" s="78"/>
      <c r="O258" s="78"/>
      <c r="P258" s="78"/>
      <c r="Q258" s="78"/>
      <c r="R258" s="78"/>
      <c r="S258" s="80" t="str">
        <f t="shared" si="1"/>
        <v/>
      </c>
      <c r="T258" s="80" t="str">
        <f t="shared" si="2"/>
        <v/>
      </c>
      <c r="U258" s="81"/>
      <c r="V258" s="81"/>
      <c r="W258" s="81"/>
      <c r="X258" s="81"/>
      <c r="Y258" s="81"/>
      <c r="Z258" s="81"/>
      <c r="AA258" s="82" t="str">
        <f t="shared" si="3"/>
        <v/>
      </c>
      <c r="AB258" s="82" t="str">
        <f t="shared" si="4"/>
        <v/>
      </c>
      <c r="AC258" s="82" t="str">
        <f t="shared" si="5"/>
        <v/>
      </c>
      <c r="AD258" s="82" t="str">
        <f t="shared" si="6"/>
        <v/>
      </c>
      <c r="AE258" s="83">
        <f t="shared" si="7"/>
        <v>0</v>
      </c>
      <c r="AF258" s="83">
        <f t="shared" si="8"/>
        <v>0</v>
      </c>
      <c r="AG258" s="79"/>
      <c r="AH258" s="78"/>
      <c r="AI258" s="78"/>
    </row>
    <row r="259" ht="15.75" customHeight="1">
      <c r="A259" s="78"/>
      <c r="B259" s="79"/>
      <c r="C259" s="78"/>
      <c r="D259" s="78"/>
      <c r="E259" s="78"/>
      <c r="F259" s="78"/>
      <c r="G259" s="78"/>
      <c r="H259" s="78"/>
      <c r="I259" s="78"/>
      <c r="J259" s="78"/>
      <c r="K259" s="78"/>
      <c r="L259" s="79"/>
      <c r="M259" s="78"/>
      <c r="N259" s="78"/>
      <c r="O259" s="78"/>
      <c r="P259" s="78"/>
      <c r="Q259" s="78"/>
      <c r="R259" s="78"/>
      <c r="S259" s="80" t="str">
        <f t="shared" si="1"/>
        <v/>
      </c>
      <c r="T259" s="80" t="str">
        <f t="shared" si="2"/>
        <v/>
      </c>
      <c r="U259" s="81"/>
      <c r="V259" s="81"/>
      <c r="W259" s="81"/>
      <c r="X259" s="81"/>
      <c r="Y259" s="81"/>
      <c r="Z259" s="81"/>
      <c r="AA259" s="82" t="str">
        <f t="shared" si="3"/>
        <v/>
      </c>
      <c r="AB259" s="82" t="str">
        <f t="shared" si="4"/>
        <v/>
      </c>
      <c r="AC259" s="82" t="str">
        <f t="shared" si="5"/>
        <v/>
      </c>
      <c r="AD259" s="82" t="str">
        <f t="shared" si="6"/>
        <v/>
      </c>
      <c r="AE259" s="83">
        <f t="shared" si="7"/>
        <v>0</v>
      </c>
      <c r="AF259" s="83">
        <f t="shared" si="8"/>
        <v>0</v>
      </c>
      <c r="AG259" s="79"/>
      <c r="AH259" s="78"/>
      <c r="AI259" s="78"/>
    </row>
    <row r="260" ht="15.75" customHeight="1">
      <c r="A260" s="78"/>
      <c r="B260" s="79"/>
      <c r="C260" s="78"/>
      <c r="D260" s="78"/>
      <c r="E260" s="78"/>
      <c r="F260" s="78"/>
      <c r="G260" s="78"/>
      <c r="H260" s="78"/>
      <c r="I260" s="78"/>
      <c r="J260" s="78"/>
      <c r="K260" s="78"/>
      <c r="L260" s="79"/>
      <c r="M260" s="78"/>
      <c r="N260" s="78"/>
      <c r="O260" s="78"/>
      <c r="P260" s="78"/>
      <c r="Q260" s="78"/>
      <c r="R260" s="78"/>
      <c r="S260" s="80" t="str">
        <f t="shared" si="1"/>
        <v/>
      </c>
      <c r="T260" s="80" t="str">
        <f t="shared" si="2"/>
        <v/>
      </c>
      <c r="U260" s="81"/>
      <c r="V260" s="81"/>
      <c r="W260" s="81"/>
      <c r="X260" s="81"/>
      <c r="Y260" s="81"/>
      <c r="Z260" s="81"/>
      <c r="AA260" s="82" t="str">
        <f t="shared" si="3"/>
        <v/>
      </c>
      <c r="AB260" s="82" t="str">
        <f t="shared" si="4"/>
        <v/>
      </c>
      <c r="AC260" s="82" t="str">
        <f t="shared" si="5"/>
        <v/>
      </c>
      <c r="AD260" s="82" t="str">
        <f t="shared" si="6"/>
        <v/>
      </c>
      <c r="AE260" s="83">
        <f t="shared" si="7"/>
        <v>0</v>
      </c>
      <c r="AF260" s="83">
        <f t="shared" si="8"/>
        <v>0</v>
      </c>
      <c r="AG260" s="79"/>
      <c r="AH260" s="78"/>
      <c r="AI260" s="78"/>
    </row>
    <row r="261" ht="15.75" customHeight="1">
      <c r="A261" s="78"/>
      <c r="B261" s="79"/>
      <c r="C261" s="78"/>
      <c r="D261" s="78"/>
      <c r="E261" s="78"/>
      <c r="F261" s="78"/>
      <c r="G261" s="78"/>
      <c r="H261" s="78"/>
      <c r="I261" s="78"/>
      <c r="J261" s="78"/>
      <c r="K261" s="78"/>
      <c r="L261" s="79"/>
      <c r="M261" s="78"/>
      <c r="N261" s="78"/>
      <c r="O261" s="78"/>
      <c r="P261" s="78"/>
      <c r="Q261" s="78"/>
      <c r="R261" s="78"/>
      <c r="S261" s="80" t="str">
        <f t="shared" si="1"/>
        <v/>
      </c>
      <c r="T261" s="80" t="str">
        <f t="shared" si="2"/>
        <v/>
      </c>
      <c r="U261" s="81"/>
      <c r="V261" s="81"/>
      <c r="W261" s="81"/>
      <c r="X261" s="81"/>
      <c r="Y261" s="81"/>
      <c r="Z261" s="81"/>
      <c r="AA261" s="82" t="str">
        <f t="shared" si="3"/>
        <v/>
      </c>
      <c r="AB261" s="82" t="str">
        <f t="shared" si="4"/>
        <v/>
      </c>
      <c r="AC261" s="82" t="str">
        <f t="shared" si="5"/>
        <v/>
      </c>
      <c r="AD261" s="82" t="str">
        <f t="shared" si="6"/>
        <v/>
      </c>
      <c r="AE261" s="83">
        <f t="shared" si="7"/>
        <v>0</v>
      </c>
      <c r="AF261" s="83">
        <f t="shared" si="8"/>
        <v>0</v>
      </c>
      <c r="AG261" s="79"/>
      <c r="AH261" s="78"/>
      <c r="AI261" s="78"/>
    </row>
    <row r="262" ht="15.75" customHeight="1">
      <c r="A262" s="78"/>
      <c r="B262" s="79"/>
      <c r="C262" s="78"/>
      <c r="D262" s="78"/>
      <c r="E262" s="78"/>
      <c r="F262" s="78"/>
      <c r="G262" s="78"/>
      <c r="H262" s="78"/>
      <c r="I262" s="78"/>
      <c r="J262" s="78"/>
      <c r="K262" s="78"/>
      <c r="L262" s="79"/>
      <c r="M262" s="78"/>
      <c r="N262" s="78"/>
      <c r="O262" s="78"/>
      <c r="P262" s="78"/>
      <c r="Q262" s="78"/>
      <c r="R262" s="78"/>
      <c r="S262" s="80" t="str">
        <f t="shared" si="1"/>
        <v/>
      </c>
      <c r="T262" s="80" t="str">
        <f t="shared" si="2"/>
        <v/>
      </c>
      <c r="U262" s="81"/>
      <c r="V262" s="81"/>
      <c r="W262" s="81"/>
      <c r="X262" s="81"/>
      <c r="Y262" s="81"/>
      <c r="Z262" s="81"/>
      <c r="AA262" s="82" t="str">
        <f t="shared" si="3"/>
        <v/>
      </c>
      <c r="AB262" s="82" t="str">
        <f t="shared" si="4"/>
        <v/>
      </c>
      <c r="AC262" s="82" t="str">
        <f t="shared" si="5"/>
        <v/>
      </c>
      <c r="AD262" s="82" t="str">
        <f t="shared" si="6"/>
        <v/>
      </c>
      <c r="AE262" s="83">
        <f t="shared" si="7"/>
        <v>0</v>
      </c>
      <c r="AF262" s="83">
        <f t="shared" si="8"/>
        <v>0</v>
      </c>
      <c r="AG262" s="79"/>
      <c r="AH262" s="78"/>
      <c r="AI262" s="78"/>
    </row>
    <row r="263" ht="15.75" customHeight="1">
      <c r="A263" s="78"/>
      <c r="B263" s="79"/>
      <c r="C263" s="78"/>
      <c r="D263" s="78"/>
      <c r="E263" s="78"/>
      <c r="F263" s="78"/>
      <c r="G263" s="78"/>
      <c r="H263" s="78"/>
      <c r="I263" s="78"/>
      <c r="J263" s="78"/>
      <c r="K263" s="78"/>
      <c r="L263" s="79"/>
      <c r="M263" s="78"/>
      <c r="N263" s="78"/>
      <c r="O263" s="78"/>
      <c r="P263" s="78"/>
      <c r="Q263" s="78"/>
      <c r="R263" s="78"/>
      <c r="S263" s="80" t="str">
        <f t="shared" si="1"/>
        <v/>
      </c>
      <c r="T263" s="80" t="str">
        <f t="shared" si="2"/>
        <v/>
      </c>
      <c r="U263" s="81"/>
      <c r="V263" s="81"/>
      <c r="W263" s="81"/>
      <c r="X263" s="81"/>
      <c r="Y263" s="81"/>
      <c r="Z263" s="81"/>
      <c r="AA263" s="82" t="str">
        <f t="shared" si="3"/>
        <v/>
      </c>
      <c r="AB263" s="82" t="str">
        <f t="shared" si="4"/>
        <v/>
      </c>
      <c r="AC263" s="82" t="str">
        <f t="shared" si="5"/>
        <v/>
      </c>
      <c r="AD263" s="82" t="str">
        <f t="shared" si="6"/>
        <v/>
      </c>
      <c r="AE263" s="83">
        <f t="shared" si="7"/>
        <v>0</v>
      </c>
      <c r="AF263" s="83">
        <f t="shared" si="8"/>
        <v>0</v>
      </c>
      <c r="AG263" s="79"/>
      <c r="AH263" s="78"/>
      <c r="AI263" s="78"/>
    </row>
    <row r="264" ht="15.75" customHeight="1">
      <c r="A264" s="78"/>
      <c r="B264" s="79"/>
      <c r="C264" s="78"/>
      <c r="D264" s="78"/>
      <c r="E264" s="78"/>
      <c r="F264" s="78"/>
      <c r="G264" s="78"/>
      <c r="H264" s="78"/>
      <c r="I264" s="78"/>
      <c r="J264" s="78"/>
      <c r="K264" s="78"/>
      <c r="L264" s="79"/>
      <c r="M264" s="78"/>
      <c r="N264" s="78"/>
      <c r="O264" s="78"/>
      <c r="P264" s="78"/>
      <c r="Q264" s="78"/>
      <c r="R264" s="78"/>
      <c r="S264" s="80" t="str">
        <f t="shared" si="1"/>
        <v/>
      </c>
      <c r="T264" s="80" t="str">
        <f t="shared" si="2"/>
        <v/>
      </c>
      <c r="U264" s="81"/>
      <c r="V264" s="81"/>
      <c r="W264" s="81"/>
      <c r="X264" s="81"/>
      <c r="Y264" s="81"/>
      <c r="Z264" s="81"/>
      <c r="AA264" s="82" t="str">
        <f t="shared" si="3"/>
        <v/>
      </c>
      <c r="AB264" s="82" t="str">
        <f t="shared" si="4"/>
        <v/>
      </c>
      <c r="AC264" s="82" t="str">
        <f t="shared" si="5"/>
        <v/>
      </c>
      <c r="AD264" s="82" t="str">
        <f t="shared" si="6"/>
        <v/>
      </c>
      <c r="AE264" s="83">
        <f t="shared" si="7"/>
        <v>0</v>
      </c>
      <c r="AF264" s="83">
        <f t="shared" si="8"/>
        <v>0</v>
      </c>
      <c r="AG264" s="79"/>
      <c r="AH264" s="78"/>
      <c r="AI264" s="78"/>
    </row>
    <row r="265" ht="15.75" customHeight="1">
      <c r="A265" s="78"/>
      <c r="B265" s="79"/>
      <c r="C265" s="78"/>
      <c r="D265" s="78"/>
      <c r="E265" s="78"/>
      <c r="F265" s="78"/>
      <c r="G265" s="78"/>
      <c r="H265" s="78"/>
      <c r="I265" s="78"/>
      <c r="J265" s="78"/>
      <c r="K265" s="78"/>
      <c r="L265" s="79"/>
      <c r="M265" s="78"/>
      <c r="N265" s="78"/>
      <c r="O265" s="78"/>
      <c r="P265" s="78"/>
      <c r="Q265" s="78"/>
      <c r="R265" s="78"/>
      <c r="S265" s="80" t="str">
        <f t="shared" si="1"/>
        <v/>
      </c>
      <c r="T265" s="80" t="str">
        <f t="shared" si="2"/>
        <v/>
      </c>
      <c r="U265" s="81"/>
      <c r="V265" s="81"/>
      <c r="W265" s="81"/>
      <c r="X265" s="81"/>
      <c r="Y265" s="81"/>
      <c r="Z265" s="81"/>
      <c r="AA265" s="82" t="str">
        <f t="shared" si="3"/>
        <v/>
      </c>
      <c r="AB265" s="82" t="str">
        <f t="shared" si="4"/>
        <v/>
      </c>
      <c r="AC265" s="82" t="str">
        <f t="shared" si="5"/>
        <v/>
      </c>
      <c r="AD265" s="82" t="str">
        <f t="shared" si="6"/>
        <v/>
      </c>
      <c r="AE265" s="83">
        <f t="shared" si="7"/>
        <v>0</v>
      </c>
      <c r="AF265" s="83">
        <f t="shared" si="8"/>
        <v>0</v>
      </c>
      <c r="AG265" s="79"/>
      <c r="AH265" s="78"/>
      <c r="AI265" s="78"/>
    </row>
    <row r="266" ht="15.75" customHeight="1">
      <c r="A266" s="78"/>
      <c r="B266" s="79"/>
      <c r="C266" s="78"/>
      <c r="D266" s="78"/>
      <c r="E266" s="78"/>
      <c r="F266" s="78"/>
      <c r="G266" s="78"/>
      <c r="H266" s="78"/>
      <c r="I266" s="78"/>
      <c r="J266" s="78"/>
      <c r="K266" s="78"/>
      <c r="L266" s="79"/>
      <c r="M266" s="78"/>
      <c r="N266" s="78"/>
      <c r="O266" s="78"/>
      <c r="P266" s="78"/>
      <c r="Q266" s="78"/>
      <c r="R266" s="78"/>
      <c r="S266" s="80" t="str">
        <f t="shared" si="1"/>
        <v/>
      </c>
      <c r="T266" s="80" t="str">
        <f t="shared" si="2"/>
        <v/>
      </c>
      <c r="U266" s="81"/>
      <c r="V266" s="81"/>
      <c r="W266" s="81"/>
      <c r="X266" s="81"/>
      <c r="Y266" s="81"/>
      <c r="Z266" s="81"/>
      <c r="AA266" s="82" t="str">
        <f t="shared" si="3"/>
        <v/>
      </c>
      <c r="AB266" s="82" t="str">
        <f t="shared" si="4"/>
        <v/>
      </c>
      <c r="AC266" s="82" t="str">
        <f t="shared" si="5"/>
        <v/>
      </c>
      <c r="AD266" s="82" t="str">
        <f t="shared" si="6"/>
        <v/>
      </c>
      <c r="AE266" s="83">
        <f t="shared" si="7"/>
        <v>0</v>
      </c>
      <c r="AF266" s="83">
        <f t="shared" si="8"/>
        <v>0</v>
      </c>
      <c r="AG266" s="79"/>
      <c r="AH266" s="78"/>
      <c r="AI266" s="78"/>
    </row>
    <row r="267" ht="15.75" customHeight="1">
      <c r="A267" s="78"/>
      <c r="B267" s="79"/>
      <c r="C267" s="78"/>
      <c r="D267" s="78"/>
      <c r="E267" s="78"/>
      <c r="F267" s="78"/>
      <c r="G267" s="78"/>
      <c r="H267" s="78"/>
      <c r="I267" s="78"/>
      <c r="J267" s="78"/>
      <c r="K267" s="78"/>
      <c r="L267" s="79"/>
      <c r="M267" s="78"/>
      <c r="N267" s="78"/>
      <c r="O267" s="78"/>
      <c r="P267" s="78"/>
      <c r="Q267" s="78"/>
      <c r="R267" s="78"/>
      <c r="S267" s="80" t="str">
        <f t="shared" si="1"/>
        <v/>
      </c>
      <c r="T267" s="80" t="str">
        <f t="shared" si="2"/>
        <v/>
      </c>
      <c r="U267" s="81"/>
      <c r="V267" s="81"/>
      <c r="W267" s="81"/>
      <c r="X267" s="81"/>
      <c r="Y267" s="81"/>
      <c r="Z267" s="81"/>
      <c r="AA267" s="82" t="str">
        <f t="shared" si="3"/>
        <v/>
      </c>
      <c r="AB267" s="82" t="str">
        <f t="shared" si="4"/>
        <v/>
      </c>
      <c r="AC267" s="82" t="str">
        <f t="shared" si="5"/>
        <v/>
      </c>
      <c r="AD267" s="82" t="str">
        <f t="shared" si="6"/>
        <v/>
      </c>
      <c r="AE267" s="83">
        <f t="shared" si="7"/>
        <v>0</v>
      </c>
      <c r="AF267" s="83">
        <f t="shared" si="8"/>
        <v>0</v>
      </c>
      <c r="AG267" s="79"/>
      <c r="AH267" s="78"/>
      <c r="AI267" s="78"/>
    </row>
    <row r="268" ht="15.75" customHeight="1">
      <c r="A268" s="78"/>
      <c r="B268" s="79"/>
      <c r="C268" s="78"/>
      <c r="D268" s="78"/>
      <c r="E268" s="78"/>
      <c r="F268" s="78"/>
      <c r="G268" s="78"/>
      <c r="H268" s="78"/>
      <c r="I268" s="78"/>
      <c r="J268" s="78"/>
      <c r="K268" s="78"/>
      <c r="L268" s="79"/>
      <c r="M268" s="78"/>
      <c r="N268" s="78"/>
      <c r="O268" s="78"/>
      <c r="P268" s="78"/>
      <c r="Q268" s="78"/>
      <c r="R268" s="78"/>
      <c r="S268" s="80" t="str">
        <f t="shared" si="1"/>
        <v/>
      </c>
      <c r="T268" s="80" t="str">
        <f t="shared" si="2"/>
        <v/>
      </c>
      <c r="U268" s="81"/>
      <c r="V268" s="81"/>
      <c r="W268" s="81"/>
      <c r="X268" s="81"/>
      <c r="Y268" s="81"/>
      <c r="Z268" s="81"/>
      <c r="AA268" s="82" t="str">
        <f t="shared" si="3"/>
        <v/>
      </c>
      <c r="AB268" s="82" t="str">
        <f t="shared" si="4"/>
        <v/>
      </c>
      <c r="AC268" s="82" t="str">
        <f t="shared" si="5"/>
        <v/>
      </c>
      <c r="AD268" s="82" t="str">
        <f t="shared" si="6"/>
        <v/>
      </c>
      <c r="AE268" s="83">
        <f t="shared" si="7"/>
        <v>0</v>
      </c>
      <c r="AF268" s="83">
        <f t="shared" si="8"/>
        <v>0</v>
      </c>
      <c r="AG268" s="79"/>
      <c r="AH268" s="78"/>
      <c r="AI268" s="78"/>
    </row>
    <row r="269" ht="15.75" customHeight="1">
      <c r="A269" s="78"/>
      <c r="B269" s="79"/>
      <c r="C269" s="78"/>
      <c r="D269" s="78"/>
      <c r="E269" s="78"/>
      <c r="F269" s="78"/>
      <c r="G269" s="78"/>
      <c r="H269" s="78"/>
      <c r="I269" s="78"/>
      <c r="J269" s="78"/>
      <c r="K269" s="78"/>
      <c r="L269" s="79"/>
      <c r="M269" s="78"/>
      <c r="N269" s="78"/>
      <c r="O269" s="78"/>
      <c r="P269" s="78"/>
      <c r="Q269" s="78"/>
      <c r="R269" s="78"/>
      <c r="S269" s="80" t="str">
        <f t="shared" si="1"/>
        <v/>
      </c>
      <c r="T269" s="80" t="str">
        <f t="shared" si="2"/>
        <v/>
      </c>
      <c r="U269" s="81"/>
      <c r="V269" s="81"/>
      <c r="W269" s="81"/>
      <c r="X269" s="81"/>
      <c r="Y269" s="81"/>
      <c r="Z269" s="81"/>
      <c r="AA269" s="82" t="str">
        <f t="shared" si="3"/>
        <v/>
      </c>
      <c r="AB269" s="82" t="str">
        <f t="shared" si="4"/>
        <v/>
      </c>
      <c r="AC269" s="82" t="str">
        <f t="shared" si="5"/>
        <v/>
      </c>
      <c r="AD269" s="82" t="str">
        <f t="shared" si="6"/>
        <v/>
      </c>
      <c r="AE269" s="83">
        <f t="shared" si="7"/>
        <v>0</v>
      </c>
      <c r="AF269" s="83">
        <f t="shared" si="8"/>
        <v>0</v>
      </c>
      <c r="AG269" s="79"/>
      <c r="AH269" s="78"/>
      <c r="AI269" s="78"/>
    </row>
    <row r="270" ht="15.75" customHeight="1">
      <c r="A270" s="78"/>
      <c r="B270" s="79"/>
      <c r="C270" s="78"/>
      <c r="D270" s="78"/>
      <c r="E270" s="78"/>
      <c r="F270" s="78"/>
      <c r="G270" s="78"/>
      <c r="H270" s="78"/>
      <c r="I270" s="78"/>
      <c r="J270" s="78"/>
      <c r="K270" s="78"/>
      <c r="L270" s="79"/>
      <c r="M270" s="78"/>
      <c r="N270" s="78"/>
      <c r="O270" s="78"/>
      <c r="P270" s="78"/>
      <c r="Q270" s="78"/>
      <c r="R270" s="78"/>
      <c r="S270" s="80" t="str">
        <f t="shared" si="1"/>
        <v/>
      </c>
      <c r="T270" s="80" t="str">
        <f t="shared" si="2"/>
        <v/>
      </c>
      <c r="U270" s="81"/>
      <c r="V270" s="81"/>
      <c r="W270" s="81"/>
      <c r="X270" s="81"/>
      <c r="Y270" s="81"/>
      <c r="Z270" s="81"/>
      <c r="AA270" s="82" t="str">
        <f t="shared" si="3"/>
        <v/>
      </c>
      <c r="AB270" s="82" t="str">
        <f t="shared" si="4"/>
        <v/>
      </c>
      <c r="AC270" s="82" t="str">
        <f t="shared" si="5"/>
        <v/>
      </c>
      <c r="AD270" s="82" t="str">
        <f t="shared" si="6"/>
        <v/>
      </c>
      <c r="AE270" s="83">
        <f t="shared" si="7"/>
        <v>0</v>
      </c>
      <c r="AF270" s="83">
        <f t="shared" si="8"/>
        <v>0</v>
      </c>
      <c r="AG270" s="79"/>
      <c r="AH270" s="78"/>
      <c r="AI270" s="78"/>
    </row>
    <row r="271" ht="15.75" customHeight="1">
      <c r="A271" s="78"/>
      <c r="B271" s="79"/>
      <c r="C271" s="78"/>
      <c r="D271" s="78"/>
      <c r="E271" s="78"/>
      <c r="F271" s="78"/>
      <c r="G271" s="78"/>
      <c r="H271" s="78"/>
      <c r="I271" s="78"/>
      <c r="J271" s="78"/>
      <c r="K271" s="78"/>
      <c r="L271" s="79"/>
      <c r="M271" s="78"/>
      <c r="N271" s="78"/>
      <c r="O271" s="78"/>
      <c r="P271" s="78"/>
      <c r="Q271" s="78"/>
      <c r="R271" s="78"/>
      <c r="S271" s="80" t="str">
        <f t="shared" si="1"/>
        <v/>
      </c>
      <c r="T271" s="80" t="str">
        <f t="shared" si="2"/>
        <v/>
      </c>
      <c r="U271" s="81"/>
      <c r="V271" s="81"/>
      <c r="W271" s="81"/>
      <c r="X271" s="81"/>
      <c r="Y271" s="81"/>
      <c r="Z271" s="81"/>
      <c r="AA271" s="82" t="str">
        <f t="shared" si="3"/>
        <v/>
      </c>
      <c r="AB271" s="82" t="str">
        <f t="shared" si="4"/>
        <v/>
      </c>
      <c r="AC271" s="82" t="str">
        <f t="shared" si="5"/>
        <v/>
      </c>
      <c r="AD271" s="82" t="str">
        <f t="shared" si="6"/>
        <v/>
      </c>
      <c r="AE271" s="83">
        <f t="shared" si="7"/>
        <v>0</v>
      </c>
      <c r="AF271" s="83">
        <f t="shared" si="8"/>
        <v>0</v>
      </c>
      <c r="AG271" s="79"/>
      <c r="AH271" s="78"/>
      <c r="AI271" s="78"/>
    </row>
    <row r="272" ht="15.75" customHeight="1">
      <c r="A272" s="78"/>
      <c r="B272" s="79"/>
      <c r="C272" s="78"/>
      <c r="D272" s="78"/>
      <c r="E272" s="78"/>
      <c r="F272" s="78"/>
      <c r="G272" s="78"/>
      <c r="H272" s="78"/>
      <c r="I272" s="78"/>
      <c r="J272" s="78"/>
      <c r="K272" s="78"/>
      <c r="L272" s="79"/>
      <c r="M272" s="78"/>
      <c r="N272" s="78"/>
      <c r="O272" s="78"/>
      <c r="P272" s="78"/>
      <c r="Q272" s="78"/>
      <c r="R272" s="78"/>
      <c r="S272" s="80" t="str">
        <f t="shared" si="1"/>
        <v/>
      </c>
      <c r="T272" s="80" t="str">
        <f t="shared" si="2"/>
        <v/>
      </c>
      <c r="U272" s="81"/>
      <c r="V272" s="81"/>
      <c r="W272" s="81"/>
      <c r="X272" s="81"/>
      <c r="Y272" s="81"/>
      <c r="Z272" s="81"/>
      <c r="AA272" s="82" t="str">
        <f t="shared" si="3"/>
        <v/>
      </c>
      <c r="AB272" s="82" t="str">
        <f t="shared" si="4"/>
        <v/>
      </c>
      <c r="AC272" s="82" t="str">
        <f t="shared" si="5"/>
        <v/>
      </c>
      <c r="AD272" s="82" t="str">
        <f t="shared" si="6"/>
        <v/>
      </c>
      <c r="AE272" s="83">
        <f t="shared" si="7"/>
        <v>0</v>
      </c>
      <c r="AF272" s="83">
        <f t="shared" si="8"/>
        <v>0</v>
      </c>
      <c r="AG272" s="79"/>
      <c r="AH272" s="78"/>
      <c r="AI272" s="78"/>
    </row>
    <row r="273" ht="15.75" customHeight="1">
      <c r="A273" s="78"/>
      <c r="B273" s="79"/>
      <c r="C273" s="78"/>
      <c r="D273" s="78"/>
      <c r="E273" s="78"/>
      <c r="F273" s="78"/>
      <c r="G273" s="78"/>
      <c r="H273" s="78"/>
      <c r="I273" s="78"/>
      <c r="J273" s="78"/>
      <c r="K273" s="78"/>
      <c r="L273" s="79"/>
      <c r="M273" s="78"/>
      <c r="N273" s="78"/>
      <c r="O273" s="78"/>
      <c r="P273" s="78"/>
      <c r="Q273" s="78"/>
      <c r="R273" s="78"/>
      <c r="S273" s="80" t="str">
        <f t="shared" si="1"/>
        <v/>
      </c>
      <c r="T273" s="80" t="str">
        <f t="shared" si="2"/>
        <v/>
      </c>
      <c r="U273" s="81"/>
      <c r="V273" s="81"/>
      <c r="W273" s="81"/>
      <c r="X273" s="81"/>
      <c r="Y273" s="81"/>
      <c r="Z273" s="81"/>
      <c r="AA273" s="82" t="str">
        <f t="shared" si="3"/>
        <v/>
      </c>
      <c r="AB273" s="82" t="str">
        <f t="shared" si="4"/>
        <v/>
      </c>
      <c r="AC273" s="82" t="str">
        <f t="shared" si="5"/>
        <v/>
      </c>
      <c r="AD273" s="82" t="str">
        <f t="shared" si="6"/>
        <v/>
      </c>
      <c r="AE273" s="83">
        <f t="shared" si="7"/>
        <v>0</v>
      </c>
      <c r="AF273" s="83">
        <f t="shared" si="8"/>
        <v>0</v>
      </c>
      <c r="AG273" s="79"/>
      <c r="AH273" s="78"/>
      <c r="AI273" s="78"/>
    </row>
    <row r="274" ht="15.75" customHeight="1">
      <c r="A274" s="78"/>
      <c r="B274" s="79"/>
      <c r="C274" s="78"/>
      <c r="D274" s="78"/>
      <c r="E274" s="78"/>
      <c r="F274" s="78"/>
      <c r="G274" s="78"/>
      <c r="H274" s="78"/>
      <c r="I274" s="78"/>
      <c r="J274" s="78"/>
      <c r="K274" s="78"/>
      <c r="L274" s="79"/>
      <c r="M274" s="78"/>
      <c r="N274" s="78"/>
      <c r="O274" s="78"/>
      <c r="P274" s="78"/>
      <c r="Q274" s="78"/>
      <c r="R274" s="78"/>
      <c r="S274" s="80" t="str">
        <f t="shared" si="1"/>
        <v/>
      </c>
      <c r="T274" s="80" t="str">
        <f t="shared" si="2"/>
        <v/>
      </c>
      <c r="U274" s="81"/>
      <c r="V274" s="81"/>
      <c r="W274" s="81"/>
      <c r="X274" s="81"/>
      <c r="Y274" s="81"/>
      <c r="Z274" s="81"/>
      <c r="AA274" s="82" t="str">
        <f t="shared" si="3"/>
        <v/>
      </c>
      <c r="AB274" s="82" t="str">
        <f t="shared" si="4"/>
        <v/>
      </c>
      <c r="AC274" s="82" t="str">
        <f t="shared" si="5"/>
        <v/>
      </c>
      <c r="AD274" s="82" t="str">
        <f t="shared" si="6"/>
        <v/>
      </c>
      <c r="AE274" s="83">
        <f t="shared" si="7"/>
        <v>0</v>
      </c>
      <c r="AF274" s="83">
        <f t="shared" si="8"/>
        <v>0</v>
      </c>
      <c r="AG274" s="79"/>
      <c r="AH274" s="78"/>
      <c r="AI274" s="78"/>
    </row>
    <row r="275" ht="15.75" customHeight="1">
      <c r="A275" s="78"/>
      <c r="B275" s="79"/>
      <c r="C275" s="78"/>
      <c r="D275" s="78"/>
      <c r="E275" s="78"/>
      <c r="F275" s="78"/>
      <c r="G275" s="78"/>
      <c r="H275" s="78"/>
      <c r="I275" s="78"/>
      <c r="J275" s="78"/>
      <c r="K275" s="78"/>
      <c r="L275" s="79"/>
      <c r="M275" s="78"/>
      <c r="N275" s="78"/>
      <c r="O275" s="78"/>
      <c r="P275" s="78"/>
      <c r="Q275" s="78"/>
      <c r="R275" s="78"/>
      <c r="S275" s="80" t="str">
        <f t="shared" si="1"/>
        <v/>
      </c>
      <c r="T275" s="80" t="str">
        <f t="shared" si="2"/>
        <v/>
      </c>
      <c r="U275" s="81"/>
      <c r="V275" s="81"/>
      <c r="W275" s="81"/>
      <c r="X275" s="81"/>
      <c r="Y275" s="81"/>
      <c r="Z275" s="81"/>
      <c r="AA275" s="82" t="str">
        <f t="shared" si="3"/>
        <v/>
      </c>
      <c r="AB275" s="82" t="str">
        <f t="shared" si="4"/>
        <v/>
      </c>
      <c r="AC275" s="82" t="str">
        <f t="shared" si="5"/>
        <v/>
      </c>
      <c r="AD275" s="82" t="str">
        <f t="shared" si="6"/>
        <v/>
      </c>
      <c r="AE275" s="83">
        <f t="shared" si="7"/>
        <v>0</v>
      </c>
      <c r="AF275" s="83">
        <f t="shared" si="8"/>
        <v>0</v>
      </c>
      <c r="AG275" s="79"/>
      <c r="AH275" s="78"/>
      <c r="AI275" s="78"/>
    </row>
    <row r="276" ht="15.75" customHeight="1">
      <c r="A276" s="78"/>
      <c r="B276" s="79"/>
      <c r="C276" s="78"/>
      <c r="D276" s="78"/>
      <c r="E276" s="78"/>
      <c r="F276" s="78"/>
      <c r="G276" s="78"/>
      <c r="H276" s="78"/>
      <c r="I276" s="78"/>
      <c r="J276" s="78"/>
      <c r="K276" s="78"/>
      <c r="L276" s="79"/>
      <c r="M276" s="78"/>
      <c r="N276" s="78"/>
      <c r="O276" s="78"/>
      <c r="P276" s="78"/>
      <c r="Q276" s="78"/>
      <c r="R276" s="78"/>
      <c r="S276" s="80" t="str">
        <f t="shared" si="1"/>
        <v/>
      </c>
      <c r="T276" s="80" t="str">
        <f t="shared" si="2"/>
        <v/>
      </c>
      <c r="U276" s="81"/>
      <c r="V276" s="81"/>
      <c r="W276" s="81"/>
      <c r="X276" s="81"/>
      <c r="Y276" s="81"/>
      <c r="Z276" s="81"/>
      <c r="AA276" s="82" t="str">
        <f t="shared" si="3"/>
        <v/>
      </c>
      <c r="AB276" s="82" t="str">
        <f t="shared" si="4"/>
        <v/>
      </c>
      <c r="AC276" s="82" t="str">
        <f t="shared" si="5"/>
        <v/>
      </c>
      <c r="AD276" s="82" t="str">
        <f t="shared" si="6"/>
        <v/>
      </c>
      <c r="AE276" s="83">
        <f t="shared" si="7"/>
        <v>0</v>
      </c>
      <c r="AF276" s="83">
        <f t="shared" si="8"/>
        <v>0</v>
      </c>
      <c r="AG276" s="79"/>
      <c r="AH276" s="78"/>
      <c r="AI276" s="78"/>
    </row>
    <row r="277" ht="15.75" customHeight="1">
      <c r="A277" s="78"/>
      <c r="B277" s="79"/>
      <c r="C277" s="78"/>
      <c r="D277" s="78"/>
      <c r="E277" s="78"/>
      <c r="F277" s="78"/>
      <c r="G277" s="78"/>
      <c r="H277" s="78"/>
      <c r="I277" s="78"/>
      <c r="J277" s="78"/>
      <c r="K277" s="78"/>
      <c r="L277" s="79"/>
      <c r="M277" s="78"/>
      <c r="N277" s="78"/>
      <c r="O277" s="78"/>
      <c r="P277" s="78"/>
      <c r="Q277" s="78"/>
      <c r="R277" s="78"/>
      <c r="S277" s="80" t="str">
        <f t="shared" si="1"/>
        <v/>
      </c>
      <c r="T277" s="80" t="str">
        <f t="shared" si="2"/>
        <v/>
      </c>
      <c r="U277" s="81"/>
      <c r="V277" s="81"/>
      <c r="W277" s="81"/>
      <c r="X277" s="81"/>
      <c r="Y277" s="81"/>
      <c r="Z277" s="81"/>
      <c r="AA277" s="82" t="str">
        <f t="shared" si="3"/>
        <v/>
      </c>
      <c r="AB277" s="82" t="str">
        <f t="shared" si="4"/>
        <v/>
      </c>
      <c r="AC277" s="82" t="str">
        <f t="shared" si="5"/>
        <v/>
      </c>
      <c r="AD277" s="82" t="str">
        <f t="shared" si="6"/>
        <v/>
      </c>
      <c r="AE277" s="83">
        <f t="shared" si="7"/>
        <v>0</v>
      </c>
      <c r="AF277" s="83">
        <f t="shared" si="8"/>
        <v>0</v>
      </c>
      <c r="AG277" s="79"/>
      <c r="AH277" s="78"/>
      <c r="AI277" s="78"/>
    </row>
    <row r="278" ht="15.75" customHeight="1">
      <c r="A278" s="78"/>
      <c r="B278" s="79"/>
      <c r="C278" s="78"/>
      <c r="D278" s="78"/>
      <c r="E278" s="78"/>
      <c r="F278" s="78"/>
      <c r="G278" s="78"/>
      <c r="H278" s="78"/>
      <c r="I278" s="78"/>
      <c r="J278" s="78"/>
      <c r="K278" s="78"/>
      <c r="L278" s="79"/>
      <c r="M278" s="78"/>
      <c r="N278" s="78"/>
      <c r="O278" s="78"/>
      <c r="P278" s="78"/>
      <c r="Q278" s="78"/>
      <c r="R278" s="78"/>
      <c r="S278" s="80" t="str">
        <f t="shared" si="1"/>
        <v/>
      </c>
      <c r="T278" s="80" t="str">
        <f t="shared" si="2"/>
        <v/>
      </c>
      <c r="U278" s="81"/>
      <c r="V278" s="81"/>
      <c r="W278" s="81"/>
      <c r="X278" s="81"/>
      <c r="Y278" s="81"/>
      <c r="Z278" s="81"/>
      <c r="AA278" s="82" t="str">
        <f t="shared" si="3"/>
        <v/>
      </c>
      <c r="AB278" s="82" t="str">
        <f t="shared" si="4"/>
        <v/>
      </c>
      <c r="AC278" s="82" t="str">
        <f t="shared" si="5"/>
        <v/>
      </c>
      <c r="AD278" s="82" t="str">
        <f t="shared" si="6"/>
        <v/>
      </c>
      <c r="AE278" s="83">
        <f t="shared" si="7"/>
        <v>0</v>
      </c>
      <c r="AF278" s="83">
        <f t="shared" si="8"/>
        <v>0</v>
      </c>
      <c r="AG278" s="79"/>
      <c r="AH278" s="78"/>
      <c r="AI278" s="78"/>
    </row>
    <row r="279" ht="15.75" customHeight="1">
      <c r="A279" s="78"/>
      <c r="B279" s="79"/>
      <c r="C279" s="78"/>
      <c r="D279" s="78"/>
      <c r="E279" s="78"/>
      <c r="F279" s="78"/>
      <c r="G279" s="78"/>
      <c r="H279" s="78"/>
      <c r="I279" s="78"/>
      <c r="J279" s="78"/>
      <c r="K279" s="78"/>
      <c r="L279" s="79"/>
      <c r="M279" s="78"/>
      <c r="N279" s="78"/>
      <c r="O279" s="78"/>
      <c r="P279" s="78"/>
      <c r="Q279" s="78"/>
      <c r="R279" s="78"/>
      <c r="S279" s="80" t="str">
        <f t="shared" si="1"/>
        <v/>
      </c>
      <c r="T279" s="80" t="str">
        <f t="shared" si="2"/>
        <v/>
      </c>
      <c r="U279" s="81"/>
      <c r="V279" s="81"/>
      <c r="W279" s="81"/>
      <c r="X279" s="81"/>
      <c r="Y279" s="81"/>
      <c r="Z279" s="81"/>
      <c r="AA279" s="82" t="str">
        <f t="shared" si="3"/>
        <v/>
      </c>
      <c r="AB279" s="82" t="str">
        <f t="shared" si="4"/>
        <v/>
      </c>
      <c r="AC279" s="82" t="str">
        <f t="shared" si="5"/>
        <v/>
      </c>
      <c r="AD279" s="82" t="str">
        <f t="shared" si="6"/>
        <v/>
      </c>
      <c r="AE279" s="83">
        <f t="shared" si="7"/>
        <v>0</v>
      </c>
      <c r="AF279" s="83">
        <f t="shared" si="8"/>
        <v>0</v>
      </c>
      <c r="AG279" s="79"/>
      <c r="AH279" s="78"/>
      <c r="AI279" s="78"/>
    </row>
    <row r="280" ht="15.75" customHeight="1">
      <c r="A280" s="78"/>
      <c r="B280" s="79"/>
      <c r="C280" s="78"/>
      <c r="D280" s="78"/>
      <c r="E280" s="78"/>
      <c r="F280" s="78"/>
      <c r="G280" s="78"/>
      <c r="H280" s="78"/>
      <c r="I280" s="78"/>
      <c r="J280" s="78"/>
      <c r="K280" s="78"/>
      <c r="L280" s="79"/>
      <c r="M280" s="78"/>
      <c r="N280" s="78"/>
      <c r="O280" s="78"/>
      <c r="P280" s="78"/>
      <c r="Q280" s="78"/>
      <c r="R280" s="78"/>
      <c r="S280" s="80" t="str">
        <f t="shared" si="1"/>
        <v/>
      </c>
      <c r="T280" s="80" t="str">
        <f t="shared" si="2"/>
        <v/>
      </c>
      <c r="U280" s="81"/>
      <c r="V280" s="81"/>
      <c r="W280" s="81"/>
      <c r="X280" s="81"/>
      <c r="Y280" s="81"/>
      <c r="Z280" s="81"/>
      <c r="AA280" s="82" t="str">
        <f t="shared" si="3"/>
        <v/>
      </c>
      <c r="AB280" s="82" t="str">
        <f t="shared" si="4"/>
        <v/>
      </c>
      <c r="AC280" s="82" t="str">
        <f t="shared" si="5"/>
        <v/>
      </c>
      <c r="AD280" s="82" t="str">
        <f t="shared" si="6"/>
        <v/>
      </c>
      <c r="AE280" s="83">
        <f t="shared" si="7"/>
        <v>0</v>
      </c>
      <c r="AF280" s="83">
        <f t="shared" si="8"/>
        <v>0</v>
      </c>
      <c r="AG280" s="79"/>
      <c r="AH280" s="78"/>
      <c r="AI280" s="78"/>
    </row>
    <row r="281" ht="15.75" customHeight="1">
      <c r="A281" s="78"/>
      <c r="B281" s="79"/>
      <c r="C281" s="78"/>
      <c r="D281" s="78"/>
      <c r="E281" s="78"/>
      <c r="F281" s="78"/>
      <c r="G281" s="78"/>
      <c r="H281" s="78"/>
      <c r="I281" s="78"/>
      <c r="J281" s="78"/>
      <c r="K281" s="78"/>
      <c r="L281" s="79"/>
      <c r="M281" s="78"/>
      <c r="N281" s="78"/>
      <c r="O281" s="78"/>
      <c r="P281" s="78"/>
      <c r="Q281" s="78"/>
      <c r="R281" s="78"/>
      <c r="S281" s="80" t="str">
        <f t="shared" si="1"/>
        <v/>
      </c>
      <c r="T281" s="80" t="str">
        <f t="shared" si="2"/>
        <v/>
      </c>
      <c r="U281" s="81"/>
      <c r="V281" s="81"/>
      <c r="W281" s="81"/>
      <c r="X281" s="81"/>
      <c r="Y281" s="81"/>
      <c r="Z281" s="81"/>
      <c r="AA281" s="82" t="str">
        <f t="shared" si="3"/>
        <v/>
      </c>
      <c r="AB281" s="82" t="str">
        <f t="shared" si="4"/>
        <v/>
      </c>
      <c r="AC281" s="82" t="str">
        <f t="shared" si="5"/>
        <v/>
      </c>
      <c r="AD281" s="82" t="str">
        <f t="shared" si="6"/>
        <v/>
      </c>
      <c r="AE281" s="83">
        <f t="shared" si="7"/>
        <v>0</v>
      </c>
      <c r="AF281" s="83">
        <f t="shared" si="8"/>
        <v>0</v>
      </c>
      <c r="AG281" s="79"/>
      <c r="AH281" s="78"/>
      <c r="AI281" s="78"/>
    </row>
    <row r="282" ht="15.75" customHeight="1">
      <c r="A282" s="78"/>
      <c r="B282" s="79"/>
      <c r="C282" s="78"/>
      <c r="D282" s="78"/>
      <c r="E282" s="78"/>
      <c r="F282" s="78"/>
      <c r="G282" s="78"/>
      <c r="H282" s="78"/>
      <c r="I282" s="78"/>
      <c r="J282" s="78"/>
      <c r="K282" s="78"/>
      <c r="L282" s="79"/>
      <c r="M282" s="78"/>
      <c r="N282" s="78"/>
      <c r="O282" s="78"/>
      <c r="P282" s="78"/>
      <c r="Q282" s="78"/>
      <c r="R282" s="78"/>
      <c r="S282" s="80" t="str">
        <f t="shared" si="1"/>
        <v/>
      </c>
      <c r="T282" s="80" t="str">
        <f t="shared" si="2"/>
        <v/>
      </c>
      <c r="U282" s="81"/>
      <c r="V282" s="81"/>
      <c r="W282" s="81"/>
      <c r="X282" s="81"/>
      <c r="Y282" s="81"/>
      <c r="Z282" s="81"/>
      <c r="AA282" s="82" t="str">
        <f t="shared" si="3"/>
        <v/>
      </c>
      <c r="AB282" s="82" t="str">
        <f t="shared" si="4"/>
        <v/>
      </c>
      <c r="AC282" s="82" t="str">
        <f t="shared" si="5"/>
        <v/>
      </c>
      <c r="AD282" s="82" t="str">
        <f t="shared" si="6"/>
        <v/>
      </c>
      <c r="AE282" s="83">
        <f t="shared" si="7"/>
        <v>0</v>
      </c>
      <c r="AF282" s="83">
        <f t="shared" si="8"/>
        <v>0</v>
      </c>
      <c r="AG282" s="79"/>
      <c r="AH282" s="78"/>
      <c r="AI282" s="78"/>
    </row>
    <row r="283" ht="15.75" customHeight="1">
      <c r="A283" s="78"/>
      <c r="B283" s="79"/>
      <c r="C283" s="78"/>
      <c r="D283" s="78"/>
      <c r="E283" s="78"/>
      <c r="F283" s="78"/>
      <c r="G283" s="78"/>
      <c r="H283" s="78"/>
      <c r="I283" s="78"/>
      <c r="J283" s="78"/>
      <c r="K283" s="78"/>
      <c r="L283" s="79"/>
      <c r="M283" s="78"/>
      <c r="N283" s="78"/>
      <c r="O283" s="78"/>
      <c r="P283" s="78"/>
      <c r="Q283" s="78"/>
      <c r="R283" s="78"/>
      <c r="S283" s="80" t="str">
        <f t="shared" si="1"/>
        <v/>
      </c>
      <c r="T283" s="80" t="str">
        <f t="shared" si="2"/>
        <v/>
      </c>
      <c r="U283" s="81"/>
      <c r="V283" s="81"/>
      <c r="W283" s="81"/>
      <c r="X283" s="81"/>
      <c r="Y283" s="81"/>
      <c r="Z283" s="81"/>
      <c r="AA283" s="82" t="str">
        <f t="shared" si="3"/>
        <v/>
      </c>
      <c r="AB283" s="82" t="str">
        <f t="shared" si="4"/>
        <v/>
      </c>
      <c r="AC283" s="82" t="str">
        <f t="shared" si="5"/>
        <v/>
      </c>
      <c r="AD283" s="82" t="str">
        <f t="shared" si="6"/>
        <v/>
      </c>
      <c r="AE283" s="83">
        <f t="shared" si="7"/>
        <v>0</v>
      </c>
      <c r="AF283" s="83">
        <f t="shared" si="8"/>
        <v>0</v>
      </c>
      <c r="AG283" s="79"/>
      <c r="AH283" s="78"/>
      <c r="AI283" s="78"/>
    </row>
    <row r="284" ht="15.75" customHeight="1">
      <c r="A284" s="78"/>
      <c r="B284" s="79"/>
      <c r="C284" s="78"/>
      <c r="D284" s="78"/>
      <c r="E284" s="78"/>
      <c r="F284" s="78"/>
      <c r="G284" s="78"/>
      <c r="H284" s="78"/>
      <c r="I284" s="78"/>
      <c r="J284" s="78"/>
      <c r="K284" s="78"/>
      <c r="L284" s="79"/>
      <c r="M284" s="78"/>
      <c r="N284" s="78"/>
      <c r="O284" s="78"/>
      <c r="P284" s="78"/>
      <c r="Q284" s="78"/>
      <c r="R284" s="78"/>
      <c r="S284" s="80" t="str">
        <f t="shared" si="1"/>
        <v/>
      </c>
      <c r="T284" s="80" t="str">
        <f t="shared" si="2"/>
        <v/>
      </c>
      <c r="U284" s="81"/>
      <c r="V284" s="81"/>
      <c r="W284" s="81"/>
      <c r="X284" s="81"/>
      <c r="Y284" s="81"/>
      <c r="Z284" s="81"/>
      <c r="AA284" s="82" t="str">
        <f t="shared" si="3"/>
        <v/>
      </c>
      <c r="AB284" s="82" t="str">
        <f t="shared" si="4"/>
        <v/>
      </c>
      <c r="AC284" s="82" t="str">
        <f t="shared" si="5"/>
        <v/>
      </c>
      <c r="AD284" s="82" t="str">
        <f t="shared" si="6"/>
        <v/>
      </c>
      <c r="AE284" s="83">
        <f t="shared" si="7"/>
        <v>0</v>
      </c>
      <c r="AF284" s="83">
        <f t="shared" si="8"/>
        <v>0</v>
      </c>
      <c r="AG284" s="79"/>
      <c r="AH284" s="78"/>
      <c r="AI284" s="78"/>
    </row>
    <row r="285" ht="15.75" customHeight="1">
      <c r="A285" s="78"/>
      <c r="B285" s="79"/>
      <c r="C285" s="78"/>
      <c r="D285" s="78"/>
      <c r="E285" s="78"/>
      <c r="F285" s="78"/>
      <c r="G285" s="78"/>
      <c r="H285" s="78"/>
      <c r="I285" s="78"/>
      <c r="J285" s="78"/>
      <c r="K285" s="78"/>
      <c r="L285" s="79"/>
      <c r="M285" s="78"/>
      <c r="N285" s="78"/>
      <c r="O285" s="78"/>
      <c r="P285" s="78"/>
      <c r="Q285" s="78"/>
      <c r="R285" s="78"/>
      <c r="S285" s="80" t="str">
        <f t="shared" si="1"/>
        <v/>
      </c>
      <c r="T285" s="80" t="str">
        <f t="shared" si="2"/>
        <v/>
      </c>
      <c r="U285" s="81"/>
      <c r="V285" s="81"/>
      <c r="W285" s="81"/>
      <c r="X285" s="81"/>
      <c r="Y285" s="81"/>
      <c r="Z285" s="81"/>
      <c r="AA285" s="82" t="str">
        <f t="shared" si="3"/>
        <v/>
      </c>
      <c r="AB285" s="82" t="str">
        <f t="shared" si="4"/>
        <v/>
      </c>
      <c r="AC285" s="82" t="str">
        <f t="shared" si="5"/>
        <v/>
      </c>
      <c r="AD285" s="82" t="str">
        <f t="shared" si="6"/>
        <v/>
      </c>
      <c r="AE285" s="83">
        <f t="shared" si="7"/>
        <v>0</v>
      </c>
      <c r="AF285" s="83">
        <f t="shared" si="8"/>
        <v>0</v>
      </c>
      <c r="AG285" s="79"/>
      <c r="AH285" s="78"/>
      <c r="AI285" s="78"/>
    </row>
    <row r="286" ht="15.75" customHeight="1">
      <c r="A286" s="78"/>
      <c r="B286" s="79"/>
      <c r="C286" s="78"/>
      <c r="D286" s="78"/>
      <c r="E286" s="78"/>
      <c r="F286" s="78"/>
      <c r="G286" s="78"/>
      <c r="H286" s="78"/>
      <c r="I286" s="78"/>
      <c r="J286" s="78"/>
      <c r="K286" s="78"/>
      <c r="L286" s="79"/>
      <c r="M286" s="78"/>
      <c r="N286" s="78"/>
      <c r="O286" s="78"/>
      <c r="P286" s="78"/>
      <c r="Q286" s="78"/>
      <c r="R286" s="78"/>
      <c r="S286" s="80" t="str">
        <f t="shared" si="1"/>
        <v/>
      </c>
      <c r="T286" s="80" t="str">
        <f t="shared" si="2"/>
        <v/>
      </c>
      <c r="U286" s="81"/>
      <c r="V286" s="81"/>
      <c r="W286" s="81"/>
      <c r="X286" s="81"/>
      <c r="Y286" s="81"/>
      <c r="Z286" s="81"/>
      <c r="AA286" s="82" t="str">
        <f t="shared" si="3"/>
        <v/>
      </c>
      <c r="AB286" s="82" t="str">
        <f t="shared" si="4"/>
        <v/>
      </c>
      <c r="AC286" s="82" t="str">
        <f t="shared" si="5"/>
        <v/>
      </c>
      <c r="AD286" s="82" t="str">
        <f t="shared" si="6"/>
        <v/>
      </c>
      <c r="AE286" s="83">
        <f t="shared" si="7"/>
        <v>0</v>
      </c>
      <c r="AF286" s="83">
        <f t="shared" si="8"/>
        <v>0</v>
      </c>
      <c r="AG286" s="79"/>
      <c r="AH286" s="78"/>
      <c r="AI286" s="78"/>
    </row>
    <row r="287" ht="15.75" customHeight="1">
      <c r="A287" s="78"/>
      <c r="B287" s="79"/>
      <c r="C287" s="78"/>
      <c r="D287" s="78"/>
      <c r="E287" s="78"/>
      <c r="F287" s="78"/>
      <c r="G287" s="78"/>
      <c r="H287" s="78"/>
      <c r="I287" s="78"/>
      <c r="J287" s="78"/>
      <c r="K287" s="78"/>
      <c r="L287" s="79"/>
      <c r="M287" s="78"/>
      <c r="N287" s="78"/>
      <c r="O287" s="78"/>
      <c r="P287" s="78"/>
      <c r="Q287" s="78"/>
      <c r="R287" s="78"/>
      <c r="S287" s="80" t="str">
        <f t="shared" si="1"/>
        <v/>
      </c>
      <c r="T287" s="80" t="str">
        <f t="shared" si="2"/>
        <v/>
      </c>
      <c r="U287" s="81"/>
      <c r="V287" s="81"/>
      <c r="W287" s="81"/>
      <c r="X287" s="81"/>
      <c r="Y287" s="81"/>
      <c r="Z287" s="81"/>
      <c r="AA287" s="82" t="str">
        <f t="shared" si="3"/>
        <v/>
      </c>
      <c r="AB287" s="82" t="str">
        <f t="shared" si="4"/>
        <v/>
      </c>
      <c r="AC287" s="82" t="str">
        <f t="shared" si="5"/>
        <v/>
      </c>
      <c r="AD287" s="82" t="str">
        <f t="shared" si="6"/>
        <v/>
      </c>
      <c r="AE287" s="83">
        <f t="shared" si="7"/>
        <v>0</v>
      </c>
      <c r="AF287" s="83">
        <f t="shared" si="8"/>
        <v>0</v>
      </c>
      <c r="AG287" s="79"/>
      <c r="AH287" s="78"/>
      <c r="AI287" s="78"/>
    </row>
    <row r="288" ht="15.75" customHeight="1">
      <c r="A288" s="78"/>
      <c r="B288" s="79"/>
      <c r="C288" s="78"/>
      <c r="D288" s="78"/>
      <c r="E288" s="78"/>
      <c r="F288" s="78"/>
      <c r="G288" s="78"/>
      <c r="H288" s="78"/>
      <c r="I288" s="78"/>
      <c r="J288" s="78"/>
      <c r="K288" s="78"/>
      <c r="L288" s="79"/>
      <c r="M288" s="78"/>
      <c r="N288" s="78"/>
      <c r="O288" s="78"/>
      <c r="P288" s="78"/>
      <c r="Q288" s="78"/>
      <c r="R288" s="78"/>
      <c r="S288" s="80" t="str">
        <f t="shared" si="1"/>
        <v/>
      </c>
      <c r="T288" s="80" t="str">
        <f t="shared" si="2"/>
        <v/>
      </c>
      <c r="U288" s="81"/>
      <c r="V288" s="81"/>
      <c r="W288" s="81"/>
      <c r="X288" s="81"/>
      <c r="Y288" s="81"/>
      <c r="Z288" s="81"/>
      <c r="AA288" s="82" t="str">
        <f t="shared" si="3"/>
        <v/>
      </c>
      <c r="AB288" s="82" t="str">
        <f t="shared" si="4"/>
        <v/>
      </c>
      <c r="AC288" s="82" t="str">
        <f t="shared" si="5"/>
        <v/>
      </c>
      <c r="AD288" s="82" t="str">
        <f t="shared" si="6"/>
        <v/>
      </c>
      <c r="AE288" s="83">
        <f t="shared" si="7"/>
        <v>0</v>
      </c>
      <c r="AF288" s="83">
        <f t="shared" si="8"/>
        <v>0</v>
      </c>
      <c r="AG288" s="79"/>
      <c r="AH288" s="78"/>
      <c r="AI288" s="78"/>
    </row>
    <row r="289" ht="15.75" customHeight="1">
      <c r="A289" s="78"/>
      <c r="B289" s="79"/>
      <c r="C289" s="78"/>
      <c r="D289" s="78"/>
      <c r="E289" s="78"/>
      <c r="F289" s="78"/>
      <c r="G289" s="78"/>
      <c r="H289" s="78"/>
      <c r="I289" s="78"/>
      <c r="J289" s="78"/>
      <c r="K289" s="78"/>
      <c r="L289" s="79"/>
      <c r="M289" s="78"/>
      <c r="N289" s="78"/>
      <c r="O289" s="78"/>
      <c r="P289" s="78"/>
      <c r="Q289" s="78"/>
      <c r="R289" s="78"/>
      <c r="S289" s="80" t="str">
        <f t="shared" si="1"/>
        <v/>
      </c>
      <c r="T289" s="80" t="str">
        <f t="shared" si="2"/>
        <v/>
      </c>
      <c r="U289" s="81"/>
      <c r="V289" s="81"/>
      <c r="W289" s="81"/>
      <c r="X289" s="81"/>
      <c r="Y289" s="81"/>
      <c r="Z289" s="81"/>
      <c r="AA289" s="82" t="str">
        <f t="shared" si="3"/>
        <v/>
      </c>
      <c r="AB289" s="82" t="str">
        <f t="shared" si="4"/>
        <v/>
      </c>
      <c r="AC289" s="82" t="str">
        <f t="shared" si="5"/>
        <v/>
      </c>
      <c r="AD289" s="82" t="str">
        <f t="shared" si="6"/>
        <v/>
      </c>
      <c r="AE289" s="83">
        <f t="shared" si="7"/>
        <v>0</v>
      </c>
      <c r="AF289" s="83">
        <f t="shared" si="8"/>
        <v>0</v>
      </c>
      <c r="AG289" s="79"/>
      <c r="AH289" s="78"/>
      <c r="AI289" s="78"/>
    </row>
    <row r="290" ht="15.75" customHeight="1">
      <c r="A290" s="78"/>
      <c r="B290" s="79"/>
      <c r="C290" s="78"/>
      <c r="D290" s="78"/>
      <c r="E290" s="78"/>
      <c r="F290" s="78"/>
      <c r="G290" s="78"/>
      <c r="H290" s="78"/>
      <c r="I290" s="78"/>
      <c r="J290" s="78"/>
      <c r="K290" s="78"/>
      <c r="L290" s="79"/>
      <c r="M290" s="78"/>
      <c r="N290" s="78"/>
      <c r="O290" s="78"/>
      <c r="P290" s="78"/>
      <c r="Q290" s="78"/>
      <c r="R290" s="78"/>
      <c r="S290" s="80" t="str">
        <f t="shared" si="1"/>
        <v/>
      </c>
      <c r="T290" s="80" t="str">
        <f t="shared" si="2"/>
        <v/>
      </c>
      <c r="U290" s="81"/>
      <c r="V290" s="81"/>
      <c r="W290" s="81"/>
      <c r="X290" s="81"/>
      <c r="Y290" s="81"/>
      <c r="Z290" s="81"/>
      <c r="AA290" s="82" t="str">
        <f t="shared" si="3"/>
        <v/>
      </c>
      <c r="AB290" s="82" t="str">
        <f t="shared" si="4"/>
        <v/>
      </c>
      <c r="AC290" s="82" t="str">
        <f t="shared" si="5"/>
        <v/>
      </c>
      <c r="AD290" s="82" t="str">
        <f t="shared" si="6"/>
        <v/>
      </c>
      <c r="AE290" s="83">
        <f t="shared" si="7"/>
        <v>0</v>
      </c>
      <c r="AF290" s="83">
        <f t="shared" si="8"/>
        <v>0</v>
      </c>
      <c r="AG290" s="79"/>
      <c r="AH290" s="78"/>
      <c r="AI290" s="78"/>
    </row>
    <row r="291" ht="15.75" customHeight="1">
      <c r="A291" s="78"/>
      <c r="B291" s="79"/>
      <c r="C291" s="78"/>
      <c r="D291" s="78"/>
      <c r="E291" s="78"/>
      <c r="F291" s="78"/>
      <c r="G291" s="78"/>
      <c r="H291" s="78"/>
      <c r="I291" s="78"/>
      <c r="J291" s="78"/>
      <c r="K291" s="78"/>
      <c r="L291" s="79"/>
      <c r="M291" s="78"/>
      <c r="N291" s="78"/>
      <c r="O291" s="78"/>
      <c r="P291" s="78"/>
      <c r="Q291" s="78"/>
      <c r="R291" s="78"/>
      <c r="S291" s="80" t="str">
        <f t="shared" si="1"/>
        <v/>
      </c>
      <c r="T291" s="80" t="str">
        <f t="shared" si="2"/>
        <v/>
      </c>
      <c r="U291" s="81"/>
      <c r="V291" s="81"/>
      <c r="W291" s="81"/>
      <c r="X291" s="81"/>
      <c r="Y291" s="81"/>
      <c r="Z291" s="81"/>
      <c r="AA291" s="82" t="str">
        <f t="shared" si="3"/>
        <v/>
      </c>
      <c r="AB291" s="82" t="str">
        <f t="shared" si="4"/>
        <v/>
      </c>
      <c r="AC291" s="82" t="str">
        <f t="shared" si="5"/>
        <v/>
      </c>
      <c r="AD291" s="82" t="str">
        <f t="shared" si="6"/>
        <v/>
      </c>
      <c r="AE291" s="83">
        <f t="shared" si="7"/>
        <v>0</v>
      </c>
      <c r="AF291" s="83">
        <f t="shared" si="8"/>
        <v>0</v>
      </c>
      <c r="AG291" s="79"/>
      <c r="AH291" s="78"/>
      <c r="AI291" s="78"/>
    </row>
    <row r="292" ht="15.75" customHeight="1">
      <c r="A292" s="78"/>
      <c r="B292" s="79"/>
      <c r="C292" s="78"/>
      <c r="D292" s="78"/>
      <c r="E292" s="78"/>
      <c r="F292" s="78"/>
      <c r="G292" s="78"/>
      <c r="H292" s="78"/>
      <c r="I292" s="78"/>
      <c r="J292" s="78"/>
      <c r="K292" s="78"/>
      <c r="L292" s="79"/>
      <c r="M292" s="78"/>
      <c r="N292" s="78"/>
      <c r="O292" s="78"/>
      <c r="P292" s="78"/>
      <c r="Q292" s="78"/>
      <c r="R292" s="78"/>
      <c r="S292" s="80" t="str">
        <f t="shared" si="1"/>
        <v/>
      </c>
      <c r="T292" s="80" t="str">
        <f t="shared" si="2"/>
        <v/>
      </c>
      <c r="U292" s="81"/>
      <c r="V292" s="81"/>
      <c r="W292" s="81"/>
      <c r="X292" s="81"/>
      <c r="Y292" s="81"/>
      <c r="Z292" s="81"/>
      <c r="AA292" s="82" t="str">
        <f t="shared" si="3"/>
        <v/>
      </c>
      <c r="AB292" s="82" t="str">
        <f t="shared" si="4"/>
        <v/>
      </c>
      <c r="AC292" s="82" t="str">
        <f t="shared" si="5"/>
        <v/>
      </c>
      <c r="AD292" s="82" t="str">
        <f t="shared" si="6"/>
        <v/>
      </c>
      <c r="AE292" s="83">
        <f t="shared" si="7"/>
        <v>0</v>
      </c>
      <c r="AF292" s="83">
        <f t="shared" si="8"/>
        <v>0</v>
      </c>
      <c r="AG292" s="79"/>
      <c r="AH292" s="78"/>
      <c r="AI292" s="78"/>
    </row>
    <row r="293" ht="15.75" customHeight="1">
      <c r="A293" s="78"/>
      <c r="B293" s="79"/>
      <c r="C293" s="78"/>
      <c r="D293" s="78"/>
      <c r="E293" s="78"/>
      <c r="F293" s="78"/>
      <c r="G293" s="78"/>
      <c r="H293" s="78"/>
      <c r="I293" s="78"/>
      <c r="J293" s="78"/>
      <c r="K293" s="78"/>
      <c r="L293" s="79"/>
      <c r="M293" s="78"/>
      <c r="N293" s="78"/>
      <c r="O293" s="78"/>
      <c r="P293" s="78"/>
      <c r="Q293" s="78"/>
      <c r="R293" s="78"/>
      <c r="S293" s="80" t="str">
        <f t="shared" si="1"/>
        <v/>
      </c>
      <c r="T293" s="80" t="str">
        <f t="shared" si="2"/>
        <v/>
      </c>
      <c r="U293" s="81"/>
      <c r="V293" s="81"/>
      <c r="W293" s="81"/>
      <c r="X293" s="81"/>
      <c r="Y293" s="81"/>
      <c r="Z293" s="81"/>
      <c r="AA293" s="82" t="str">
        <f t="shared" si="3"/>
        <v/>
      </c>
      <c r="AB293" s="82" t="str">
        <f t="shared" si="4"/>
        <v/>
      </c>
      <c r="AC293" s="82" t="str">
        <f t="shared" si="5"/>
        <v/>
      </c>
      <c r="AD293" s="82" t="str">
        <f t="shared" si="6"/>
        <v/>
      </c>
      <c r="AE293" s="83">
        <f t="shared" si="7"/>
        <v>0</v>
      </c>
      <c r="AF293" s="83">
        <f t="shared" si="8"/>
        <v>0</v>
      </c>
      <c r="AG293" s="79"/>
      <c r="AH293" s="78"/>
      <c r="AI293" s="78"/>
    </row>
    <row r="294" ht="15.75" customHeight="1">
      <c r="A294" s="78"/>
      <c r="B294" s="79"/>
      <c r="C294" s="78"/>
      <c r="D294" s="78"/>
      <c r="E294" s="78"/>
      <c r="F294" s="78"/>
      <c r="G294" s="78"/>
      <c r="H294" s="78"/>
      <c r="I294" s="78"/>
      <c r="J294" s="78"/>
      <c r="K294" s="78"/>
      <c r="L294" s="79"/>
      <c r="M294" s="78"/>
      <c r="N294" s="78"/>
      <c r="O294" s="78"/>
      <c r="P294" s="78"/>
      <c r="Q294" s="78"/>
      <c r="R294" s="78"/>
      <c r="S294" s="80" t="str">
        <f t="shared" si="1"/>
        <v/>
      </c>
      <c r="T294" s="80" t="str">
        <f t="shared" si="2"/>
        <v/>
      </c>
      <c r="U294" s="81"/>
      <c r="V294" s="81"/>
      <c r="W294" s="81"/>
      <c r="X294" s="81"/>
      <c r="Y294" s="81"/>
      <c r="Z294" s="81"/>
      <c r="AA294" s="82" t="str">
        <f t="shared" si="3"/>
        <v/>
      </c>
      <c r="AB294" s="82" t="str">
        <f t="shared" si="4"/>
        <v/>
      </c>
      <c r="AC294" s="82" t="str">
        <f t="shared" si="5"/>
        <v/>
      </c>
      <c r="AD294" s="82" t="str">
        <f t="shared" si="6"/>
        <v/>
      </c>
      <c r="AE294" s="83">
        <f t="shared" si="7"/>
        <v>0</v>
      </c>
      <c r="AF294" s="83">
        <f t="shared" si="8"/>
        <v>0</v>
      </c>
      <c r="AG294" s="79"/>
      <c r="AH294" s="78"/>
      <c r="AI294" s="78"/>
    </row>
    <row r="295" ht="15.75" customHeight="1">
      <c r="A295" s="78"/>
      <c r="B295" s="79"/>
      <c r="C295" s="78"/>
      <c r="D295" s="78"/>
      <c r="E295" s="78"/>
      <c r="F295" s="78"/>
      <c r="G295" s="78"/>
      <c r="H295" s="78"/>
      <c r="I295" s="78"/>
      <c r="J295" s="78"/>
      <c r="K295" s="78"/>
      <c r="L295" s="79"/>
      <c r="M295" s="78"/>
      <c r="N295" s="78"/>
      <c r="O295" s="78"/>
      <c r="P295" s="78"/>
      <c r="Q295" s="78"/>
      <c r="R295" s="78"/>
      <c r="S295" s="80" t="str">
        <f t="shared" si="1"/>
        <v/>
      </c>
      <c r="T295" s="80" t="str">
        <f t="shared" si="2"/>
        <v/>
      </c>
      <c r="U295" s="81"/>
      <c r="V295" s="81"/>
      <c r="W295" s="81"/>
      <c r="X295" s="81"/>
      <c r="Y295" s="81"/>
      <c r="Z295" s="81"/>
      <c r="AA295" s="82" t="str">
        <f t="shared" si="3"/>
        <v/>
      </c>
      <c r="AB295" s="82" t="str">
        <f t="shared" si="4"/>
        <v/>
      </c>
      <c r="AC295" s="82" t="str">
        <f t="shared" si="5"/>
        <v/>
      </c>
      <c r="AD295" s="82" t="str">
        <f t="shared" si="6"/>
        <v/>
      </c>
      <c r="AE295" s="83">
        <f t="shared" si="7"/>
        <v>0</v>
      </c>
      <c r="AF295" s="83">
        <f t="shared" si="8"/>
        <v>0</v>
      </c>
      <c r="AG295" s="79"/>
      <c r="AH295" s="78"/>
      <c r="AI295" s="78"/>
    </row>
    <row r="296" ht="15.75" customHeight="1">
      <c r="A296" s="78"/>
      <c r="B296" s="79"/>
      <c r="C296" s="78"/>
      <c r="D296" s="78"/>
      <c r="E296" s="78"/>
      <c r="F296" s="78"/>
      <c r="G296" s="78"/>
      <c r="H296" s="78"/>
      <c r="I296" s="78"/>
      <c r="J296" s="78"/>
      <c r="K296" s="78"/>
      <c r="L296" s="79"/>
      <c r="M296" s="78"/>
      <c r="N296" s="78"/>
      <c r="O296" s="78"/>
      <c r="P296" s="78"/>
      <c r="Q296" s="78"/>
      <c r="R296" s="78"/>
      <c r="S296" s="80" t="str">
        <f t="shared" si="1"/>
        <v/>
      </c>
      <c r="T296" s="80" t="str">
        <f t="shared" si="2"/>
        <v/>
      </c>
      <c r="U296" s="81"/>
      <c r="V296" s="81"/>
      <c r="W296" s="81"/>
      <c r="X296" s="81"/>
      <c r="Y296" s="81"/>
      <c r="Z296" s="81"/>
      <c r="AA296" s="82" t="str">
        <f t="shared" si="3"/>
        <v/>
      </c>
      <c r="AB296" s="82" t="str">
        <f t="shared" si="4"/>
        <v/>
      </c>
      <c r="AC296" s="82" t="str">
        <f t="shared" si="5"/>
        <v/>
      </c>
      <c r="AD296" s="82" t="str">
        <f t="shared" si="6"/>
        <v/>
      </c>
      <c r="AE296" s="83">
        <f t="shared" si="7"/>
        <v>0</v>
      </c>
      <c r="AF296" s="83">
        <f t="shared" si="8"/>
        <v>0</v>
      </c>
      <c r="AG296" s="79"/>
      <c r="AH296" s="78"/>
      <c r="AI296" s="78"/>
    </row>
    <row r="297" ht="15.75" customHeight="1">
      <c r="A297" s="78"/>
      <c r="B297" s="79"/>
      <c r="C297" s="78"/>
      <c r="D297" s="78"/>
      <c r="E297" s="78"/>
      <c r="F297" s="78"/>
      <c r="G297" s="78"/>
      <c r="H297" s="78"/>
      <c r="I297" s="78"/>
      <c r="J297" s="78"/>
      <c r="K297" s="78"/>
      <c r="L297" s="79"/>
      <c r="M297" s="78"/>
      <c r="N297" s="78"/>
      <c r="O297" s="78"/>
      <c r="P297" s="78"/>
      <c r="Q297" s="78"/>
      <c r="R297" s="78"/>
      <c r="S297" s="80" t="str">
        <f t="shared" si="1"/>
        <v/>
      </c>
      <c r="T297" s="80" t="str">
        <f t="shared" si="2"/>
        <v/>
      </c>
      <c r="U297" s="81"/>
      <c r="V297" s="81"/>
      <c r="W297" s="81"/>
      <c r="X297" s="81"/>
      <c r="Y297" s="81"/>
      <c r="Z297" s="81"/>
      <c r="AA297" s="82" t="str">
        <f t="shared" si="3"/>
        <v/>
      </c>
      <c r="AB297" s="82" t="str">
        <f t="shared" si="4"/>
        <v/>
      </c>
      <c r="AC297" s="82" t="str">
        <f t="shared" si="5"/>
        <v/>
      </c>
      <c r="AD297" s="82" t="str">
        <f t="shared" si="6"/>
        <v/>
      </c>
      <c r="AE297" s="83">
        <f t="shared" si="7"/>
        <v>0</v>
      </c>
      <c r="AF297" s="83">
        <f t="shared" si="8"/>
        <v>0</v>
      </c>
      <c r="AG297" s="79"/>
      <c r="AH297" s="78"/>
      <c r="AI297" s="78"/>
    </row>
    <row r="298" ht="15.75" customHeight="1">
      <c r="A298" s="78"/>
      <c r="B298" s="79"/>
      <c r="C298" s="78"/>
      <c r="D298" s="78"/>
      <c r="E298" s="78"/>
      <c r="F298" s="78"/>
      <c r="G298" s="78"/>
      <c r="H298" s="78"/>
      <c r="I298" s="78"/>
      <c r="J298" s="78"/>
      <c r="K298" s="78"/>
      <c r="L298" s="79"/>
      <c r="M298" s="78"/>
      <c r="N298" s="78"/>
      <c r="O298" s="78"/>
      <c r="P298" s="78"/>
      <c r="Q298" s="78"/>
      <c r="R298" s="78"/>
      <c r="S298" s="80" t="str">
        <f t="shared" si="1"/>
        <v/>
      </c>
      <c r="T298" s="80" t="str">
        <f t="shared" si="2"/>
        <v/>
      </c>
      <c r="U298" s="81"/>
      <c r="V298" s="81"/>
      <c r="W298" s="81"/>
      <c r="X298" s="81"/>
      <c r="Y298" s="81"/>
      <c r="Z298" s="81"/>
      <c r="AA298" s="82" t="str">
        <f t="shared" si="3"/>
        <v/>
      </c>
      <c r="AB298" s="82" t="str">
        <f t="shared" si="4"/>
        <v/>
      </c>
      <c r="AC298" s="82" t="str">
        <f t="shared" si="5"/>
        <v/>
      </c>
      <c r="AD298" s="82" t="str">
        <f t="shared" si="6"/>
        <v/>
      </c>
      <c r="AE298" s="83">
        <f t="shared" si="7"/>
        <v>0</v>
      </c>
      <c r="AF298" s="83">
        <f t="shared" si="8"/>
        <v>0</v>
      </c>
      <c r="AG298" s="79"/>
      <c r="AH298" s="78"/>
      <c r="AI298" s="78"/>
    </row>
    <row r="299" ht="15.75" customHeight="1">
      <c r="A299" s="78"/>
      <c r="B299" s="79"/>
      <c r="C299" s="78"/>
      <c r="D299" s="78"/>
      <c r="E299" s="78"/>
      <c r="F299" s="78"/>
      <c r="G299" s="78"/>
      <c r="H299" s="78"/>
      <c r="I299" s="78"/>
      <c r="J299" s="78"/>
      <c r="K299" s="78"/>
      <c r="L299" s="79"/>
      <c r="M299" s="78"/>
      <c r="N299" s="78"/>
      <c r="O299" s="78"/>
      <c r="P299" s="78"/>
      <c r="Q299" s="78"/>
      <c r="R299" s="78"/>
      <c r="S299" s="80" t="str">
        <f t="shared" si="1"/>
        <v/>
      </c>
      <c r="T299" s="80" t="str">
        <f t="shared" si="2"/>
        <v/>
      </c>
      <c r="U299" s="81"/>
      <c r="V299" s="81"/>
      <c r="W299" s="81"/>
      <c r="X299" s="81"/>
      <c r="Y299" s="81"/>
      <c r="Z299" s="81"/>
      <c r="AA299" s="82" t="str">
        <f t="shared" si="3"/>
        <v/>
      </c>
      <c r="AB299" s="82" t="str">
        <f t="shared" si="4"/>
        <v/>
      </c>
      <c r="AC299" s="82" t="str">
        <f t="shared" si="5"/>
        <v/>
      </c>
      <c r="AD299" s="82" t="str">
        <f t="shared" si="6"/>
        <v/>
      </c>
      <c r="AE299" s="83">
        <f t="shared" si="7"/>
        <v>0</v>
      </c>
      <c r="AF299" s="83">
        <f t="shared" si="8"/>
        <v>0</v>
      </c>
      <c r="AG299" s="79"/>
      <c r="AH299" s="78"/>
      <c r="AI299" s="78"/>
    </row>
    <row r="300" ht="15.75" customHeight="1">
      <c r="A300" s="78"/>
      <c r="B300" s="79"/>
      <c r="C300" s="78"/>
      <c r="D300" s="78"/>
      <c r="E300" s="78"/>
      <c r="F300" s="78"/>
      <c r="G300" s="78"/>
      <c r="H300" s="78"/>
      <c r="I300" s="78"/>
      <c r="J300" s="78"/>
      <c r="K300" s="78"/>
      <c r="L300" s="79"/>
      <c r="M300" s="78"/>
      <c r="N300" s="78"/>
      <c r="O300" s="78"/>
      <c r="P300" s="78"/>
      <c r="Q300" s="78"/>
      <c r="R300" s="78"/>
      <c r="S300" s="80" t="str">
        <f t="shared" si="1"/>
        <v/>
      </c>
      <c r="T300" s="80" t="str">
        <f t="shared" si="2"/>
        <v/>
      </c>
      <c r="U300" s="81"/>
      <c r="V300" s="81"/>
      <c r="W300" s="81"/>
      <c r="X300" s="81"/>
      <c r="Y300" s="81"/>
      <c r="Z300" s="81"/>
      <c r="AA300" s="82" t="str">
        <f t="shared" si="3"/>
        <v/>
      </c>
      <c r="AB300" s="82" t="str">
        <f t="shared" si="4"/>
        <v/>
      </c>
      <c r="AC300" s="82" t="str">
        <f t="shared" si="5"/>
        <v/>
      </c>
      <c r="AD300" s="82" t="str">
        <f t="shared" si="6"/>
        <v/>
      </c>
      <c r="AE300" s="83">
        <f t="shared" si="7"/>
        <v>0</v>
      </c>
      <c r="AF300" s="83">
        <f t="shared" si="8"/>
        <v>0</v>
      </c>
      <c r="AG300" s="79"/>
      <c r="AH300" s="78"/>
      <c r="AI300" s="78"/>
    </row>
    <row r="301" ht="15.75" customHeight="1">
      <c r="A301" s="78"/>
      <c r="B301" s="79"/>
      <c r="C301" s="78"/>
      <c r="D301" s="78"/>
      <c r="E301" s="78"/>
      <c r="F301" s="78"/>
      <c r="G301" s="78"/>
      <c r="H301" s="78"/>
      <c r="I301" s="78"/>
      <c r="J301" s="78"/>
      <c r="K301" s="78"/>
      <c r="L301" s="79"/>
      <c r="M301" s="78"/>
      <c r="N301" s="78"/>
      <c r="O301" s="78"/>
      <c r="P301" s="78"/>
      <c r="Q301" s="78"/>
      <c r="R301" s="78"/>
      <c r="S301" s="80" t="str">
        <f t="shared" si="1"/>
        <v/>
      </c>
      <c r="T301" s="80" t="str">
        <f t="shared" si="2"/>
        <v/>
      </c>
      <c r="U301" s="81"/>
      <c r="V301" s="81"/>
      <c r="W301" s="81"/>
      <c r="X301" s="81"/>
      <c r="Y301" s="81"/>
      <c r="Z301" s="81"/>
      <c r="AA301" s="82" t="str">
        <f t="shared" si="3"/>
        <v/>
      </c>
      <c r="AB301" s="82" t="str">
        <f t="shared" si="4"/>
        <v/>
      </c>
      <c r="AC301" s="82" t="str">
        <f t="shared" si="5"/>
        <v/>
      </c>
      <c r="AD301" s="82" t="str">
        <f t="shared" si="6"/>
        <v/>
      </c>
      <c r="AE301" s="83">
        <f t="shared" si="7"/>
        <v>0</v>
      </c>
      <c r="AF301" s="83">
        <f t="shared" si="8"/>
        <v>0</v>
      </c>
      <c r="AG301" s="79"/>
      <c r="AH301" s="78"/>
      <c r="AI301" s="78"/>
    </row>
    <row r="302" ht="15.75" customHeight="1">
      <c r="A302" s="78"/>
      <c r="B302" s="79"/>
      <c r="C302" s="78"/>
      <c r="D302" s="78"/>
      <c r="E302" s="78"/>
      <c r="F302" s="78"/>
      <c r="G302" s="78"/>
      <c r="H302" s="78"/>
      <c r="I302" s="78"/>
      <c r="J302" s="78"/>
      <c r="K302" s="78"/>
      <c r="L302" s="79"/>
      <c r="M302" s="78"/>
      <c r="N302" s="78"/>
      <c r="O302" s="78"/>
      <c r="P302" s="78"/>
      <c r="Q302" s="78"/>
      <c r="R302" s="78"/>
      <c r="S302" s="80" t="str">
        <f t="shared" si="1"/>
        <v/>
      </c>
      <c r="T302" s="80" t="str">
        <f t="shared" si="2"/>
        <v/>
      </c>
      <c r="U302" s="81"/>
      <c r="V302" s="81"/>
      <c r="W302" s="81"/>
      <c r="X302" s="81"/>
      <c r="Y302" s="81"/>
      <c r="Z302" s="81"/>
      <c r="AA302" s="82" t="str">
        <f t="shared" si="3"/>
        <v/>
      </c>
      <c r="AB302" s="82" t="str">
        <f t="shared" si="4"/>
        <v/>
      </c>
      <c r="AC302" s="82" t="str">
        <f t="shared" si="5"/>
        <v/>
      </c>
      <c r="AD302" s="82" t="str">
        <f t="shared" si="6"/>
        <v/>
      </c>
      <c r="AE302" s="83">
        <f t="shared" si="7"/>
        <v>0</v>
      </c>
      <c r="AF302" s="83">
        <f t="shared" si="8"/>
        <v>0</v>
      </c>
      <c r="AG302" s="79"/>
      <c r="AH302" s="78"/>
      <c r="AI302" s="78"/>
    </row>
    <row r="303" ht="15.75" customHeight="1">
      <c r="A303" s="78"/>
      <c r="B303" s="79"/>
      <c r="C303" s="78"/>
      <c r="D303" s="78"/>
      <c r="E303" s="78"/>
      <c r="F303" s="78"/>
      <c r="G303" s="78"/>
      <c r="H303" s="78"/>
      <c r="I303" s="78"/>
      <c r="J303" s="78"/>
      <c r="K303" s="78"/>
      <c r="L303" s="79"/>
      <c r="M303" s="78"/>
      <c r="N303" s="78"/>
      <c r="O303" s="78"/>
      <c r="P303" s="78"/>
      <c r="Q303" s="78"/>
      <c r="R303" s="78"/>
      <c r="S303" s="80" t="str">
        <f t="shared" si="1"/>
        <v/>
      </c>
      <c r="T303" s="80" t="str">
        <f t="shared" si="2"/>
        <v/>
      </c>
      <c r="U303" s="81"/>
      <c r="V303" s="81"/>
      <c r="W303" s="81"/>
      <c r="X303" s="81"/>
      <c r="Y303" s="81"/>
      <c r="Z303" s="81"/>
      <c r="AA303" s="82" t="str">
        <f t="shared" si="3"/>
        <v/>
      </c>
      <c r="AB303" s="82" t="str">
        <f t="shared" si="4"/>
        <v/>
      </c>
      <c r="AC303" s="82" t="str">
        <f t="shared" si="5"/>
        <v/>
      </c>
      <c r="AD303" s="82" t="str">
        <f t="shared" si="6"/>
        <v/>
      </c>
      <c r="AE303" s="83">
        <f t="shared" si="7"/>
        <v>0</v>
      </c>
      <c r="AF303" s="83">
        <f t="shared" si="8"/>
        <v>0</v>
      </c>
      <c r="AG303" s="79"/>
      <c r="AH303" s="78"/>
      <c r="AI303" s="78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I1"/>
    <mergeCell ref="A2:AI2"/>
  </mergeCells>
  <conditionalFormatting sqref="S4:S3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>
    <dataValidation type="list" allowBlank="1" sqref="P4:R303">
      <formula1>"1,2,3,4,5"</formula1>
    </dataValidation>
    <dataValidation type="list" allowBlank="1" sqref="K4:K303">
      <formula1>Lists!$Q$2:$Q$8</formula1>
    </dataValidation>
    <dataValidation type="list" allowBlank="1" sqref="O4:O303">
      <formula1>Lists!$L$2:$L$11</formula1>
    </dataValidation>
    <dataValidation type="list" allowBlank="1" sqref="AH4:AH303">
      <formula1>Lists!$N$2:$N$8</formula1>
    </dataValidation>
    <dataValidation type="list" allowBlank="1" sqref="D4:D303">
      <formula1>Lists!$H$2:$H$10</formula1>
    </dataValidation>
    <dataValidation type="list" allowBlank="1" sqref="N4:N303">
      <formula1>Lists!$K$2:$K$10</formula1>
    </dataValidation>
    <dataValidation type="list" allowBlank="1" sqref="J4:J303">
      <formula1>Lists!$I$2:$I$8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2.0"/>
    <col customWidth="1" min="4" max="4" width="20.0"/>
    <col customWidth="1" min="5" max="5" width="18.0"/>
    <col customWidth="1" min="6" max="6" width="16.0"/>
    <col customWidth="1" min="7" max="7" width="14.0"/>
    <col customWidth="1" min="8" max="8" width="16.0"/>
    <col customWidth="1" min="9" max="9" width="24.0"/>
    <col customWidth="1" min="10" max="10" width="28.0"/>
    <col customWidth="1" min="11" max="11" width="18.0"/>
    <col customWidth="1" min="12" max="12" width="20.0"/>
    <col customWidth="1" min="13" max="13" width="10.0"/>
    <col customWidth="1" min="14" max="16" width="12.0"/>
    <col customWidth="1" min="17" max="17" width="20.0"/>
    <col customWidth="1" min="18" max="23" width="12.0"/>
    <col customWidth="1" min="24" max="27" width="16.0"/>
    <col customWidth="1" min="28" max="31" width="12.0"/>
    <col customWidth="1" min="32" max="32" width="16.0"/>
    <col customWidth="1" min="33" max="33" width="14.0"/>
    <col customWidth="1" min="34" max="34" width="32.0"/>
  </cols>
  <sheetData>
    <row r="1" ht="24.0" customHeight="1">
      <c r="A1" s="71" t="s">
        <v>752</v>
      </c>
    </row>
    <row r="2" ht="24.0" customHeight="1">
      <c r="A2" s="72" t="s">
        <v>753</v>
      </c>
    </row>
    <row r="3" ht="24.0" customHeight="1">
      <c r="A3" s="77" t="s">
        <v>754</v>
      </c>
      <c r="B3" s="77" t="s">
        <v>755</v>
      </c>
      <c r="C3" s="77" t="s">
        <v>756</v>
      </c>
      <c r="D3" s="77" t="s">
        <v>757</v>
      </c>
      <c r="E3" s="77" t="s">
        <v>758</v>
      </c>
      <c r="F3" s="77" t="s">
        <v>689</v>
      </c>
      <c r="G3" s="77" t="s">
        <v>690</v>
      </c>
      <c r="H3" s="77" t="s">
        <v>759</v>
      </c>
      <c r="I3" s="77" t="s">
        <v>760</v>
      </c>
      <c r="J3" s="77" t="s">
        <v>761</v>
      </c>
      <c r="K3" s="77" t="s">
        <v>697</v>
      </c>
      <c r="L3" s="77" t="s">
        <v>698</v>
      </c>
      <c r="M3" s="77" t="s">
        <v>762</v>
      </c>
      <c r="N3" s="77" t="s">
        <v>763</v>
      </c>
      <c r="O3" s="77" t="s">
        <v>764</v>
      </c>
      <c r="P3" s="77" t="s">
        <v>702</v>
      </c>
      <c r="Q3" s="77" t="s">
        <v>703</v>
      </c>
      <c r="R3" s="77" t="s">
        <v>765</v>
      </c>
      <c r="S3" s="77" t="s">
        <v>766</v>
      </c>
      <c r="T3" s="77" t="s">
        <v>767</v>
      </c>
      <c r="U3" s="77" t="s">
        <v>707</v>
      </c>
      <c r="V3" s="77" t="s">
        <v>708</v>
      </c>
      <c r="W3" s="77" t="s">
        <v>709</v>
      </c>
      <c r="X3" s="77" t="s">
        <v>710</v>
      </c>
      <c r="Y3" s="77" t="s">
        <v>711</v>
      </c>
      <c r="Z3" s="77" t="s">
        <v>712</v>
      </c>
      <c r="AA3" s="77" t="s">
        <v>713</v>
      </c>
      <c r="AB3" s="77" t="s">
        <v>591</v>
      </c>
      <c r="AC3" s="77" t="s">
        <v>768</v>
      </c>
      <c r="AD3" s="77" t="s">
        <v>769</v>
      </c>
      <c r="AE3" s="77" t="s">
        <v>770</v>
      </c>
      <c r="AF3" s="77" t="s">
        <v>771</v>
      </c>
      <c r="AG3" s="77" t="s">
        <v>256</v>
      </c>
      <c r="AH3" s="77" t="s">
        <v>31</v>
      </c>
    </row>
    <row r="4">
      <c r="A4" s="78" t="s">
        <v>772</v>
      </c>
      <c r="B4" s="79">
        <v>46160.0</v>
      </c>
      <c r="C4" s="78" t="s">
        <v>773</v>
      </c>
      <c r="D4" s="78" t="s">
        <v>774</v>
      </c>
      <c r="E4" s="78" t="s">
        <v>775</v>
      </c>
      <c r="F4" s="78" t="s">
        <v>776</v>
      </c>
      <c r="G4" s="78" t="s">
        <v>721</v>
      </c>
      <c r="H4" s="78" t="s">
        <v>722</v>
      </c>
      <c r="I4" s="78" t="s">
        <v>634</v>
      </c>
      <c r="J4" s="78" t="s">
        <v>777</v>
      </c>
      <c r="K4" s="78" t="s">
        <v>778</v>
      </c>
      <c r="L4" s="78" t="s">
        <v>774</v>
      </c>
      <c r="M4" s="78">
        <v>5.0</v>
      </c>
      <c r="N4" s="78">
        <v>5.0</v>
      </c>
      <c r="O4" s="78">
        <v>4.0</v>
      </c>
      <c r="P4" s="80">
        <f t="shared" ref="P4:P303" si="1">IF(C4="","",SUM(M4:O4))</f>
        <v>14</v>
      </c>
      <c r="Q4" s="80" t="str">
        <f t="shared" ref="Q4:Q303" si="2">IF(C4="","",IF((U4+V4)&gt;=20,"Leader An Nhiên",IF((U4+V4)&gt;=5,"Đại sứ Ban Mai",IF(P4&gt;=10,"Affiliate cơ bản",IF(P4&gt;=1,"Người Gieo Giọt Lành","")))))</f>
        <v>Đại sứ Ban Mai</v>
      </c>
      <c r="R4" s="81">
        <v>10.0</v>
      </c>
      <c r="S4" s="81">
        <v>8.0</v>
      </c>
      <c r="T4" s="81">
        <v>12.0</v>
      </c>
      <c r="U4" s="81">
        <v>6.0</v>
      </c>
      <c r="V4" s="81">
        <v>2.0</v>
      </c>
      <c r="W4" s="81">
        <v>8.0</v>
      </c>
      <c r="X4" s="82">
        <f t="shared" ref="X4:X303" si="3">IF(C4="","",U4*199000+V4*249000+W4*60000)</f>
        <v>2172000</v>
      </c>
      <c r="Y4" s="82">
        <f t="shared" ref="Y4:Y303" si="4">IF(C4="","",IFERROR(U4*VLOOKUP(IF(L4="",Q4,L4),'13 Policy Matrix'!$A$4:$F$30,4,FALSE)+V4*VLOOKUP(IF(L4="",Q4,L4),'13 Policy Matrix'!$A$4:$F$30,5,FALSE)+W4*VLOOKUP(IF(L4="",Q4,L4),'13 Policy Matrix'!$A$4:$F$30,6,FALSE),0))</f>
        <v>0</v>
      </c>
      <c r="Z4" s="82">
        <f t="shared" ref="Z4:Z303" si="5">IF(C4="","",IF(U4+V4&gt;=50,1000000,IF(U4+V4&gt;=20,300000,IF(U4+V4&gt;=10,100000,0)))+IF(W4&gt;=100,300000,0))</f>
        <v>0</v>
      </c>
      <c r="AA4" s="82">
        <f t="shared" ref="AA4:AA303" si="6">IF(C4="","",Y4+Z4)</f>
        <v>0</v>
      </c>
      <c r="AB4" s="83">
        <f t="shared" ref="AB4:AB303" si="7">IFERROR(S4/R4,0)</f>
        <v>0.8</v>
      </c>
      <c r="AC4" s="83">
        <f t="shared" ref="AC4:AC303" si="8">IFERROR((U4+V4)/T4,0)</f>
        <v>0.6666666667</v>
      </c>
      <c r="AD4" s="78">
        <v>20.0</v>
      </c>
      <c r="AE4" s="83">
        <f t="shared" ref="AE4:AE303" si="9">IFERROR((U4+V4+W4)/AD4,0)</f>
        <v>0.8</v>
      </c>
      <c r="AF4" s="78" t="s">
        <v>779</v>
      </c>
      <c r="AG4" s="78" t="s">
        <v>615</v>
      </c>
      <c r="AH4" s="78" t="s">
        <v>780</v>
      </c>
    </row>
    <row r="5">
      <c r="A5" s="78" t="s">
        <v>781</v>
      </c>
      <c r="B5" s="79">
        <v>46161.0</v>
      </c>
      <c r="C5" s="78" t="s">
        <v>782</v>
      </c>
      <c r="D5" s="78" t="s">
        <v>783</v>
      </c>
      <c r="E5" s="78" t="s">
        <v>784</v>
      </c>
      <c r="F5" s="78" t="s">
        <v>785</v>
      </c>
      <c r="G5" s="78" t="s">
        <v>733</v>
      </c>
      <c r="H5" s="78" t="s">
        <v>786</v>
      </c>
      <c r="I5" s="78" t="s">
        <v>107</v>
      </c>
      <c r="J5" s="78" t="s">
        <v>787</v>
      </c>
      <c r="K5" s="78" t="s">
        <v>737</v>
      </c>
      <c r="L5" s="78" t="s">
        <v>635</v>
      </c>
      <c r="M5" s="78">
        <v>4.0</v>
      </c>
      <c r="N5" s="78">
        <v>4.0</v>
      </c>
      <c r="O5" s="78">
        <v>3.0</v>
      </c>
      <c r="P5" s="80">
        <f t="shared" si="1"/>
        <v>11</v>
      </c>
      <c r="Q5" s="80" t="str">
        <f t="shared" si="2"/>
        <v>Affiliate cơ bản</v>
      </c>
      <c r="R5" s="81">
        <v>5.0</v>
      </c>
      <c r="S5" s="81">
        <v>4.0</v>
      </c>
      <c r="T5" s="81">
        <v>5.0</v>
      </c>
      <c r="U5" s="81">
        <v>2.0</v>
      </c>
      <c r="V5" s="81">
        <v>0.0</v>
      </c>
      <c r="W5" s="81">
        <v>1.0</v>
      </c>
      <c r="X5" s="82">
        <f t="shared" si="3"/>
        <v>458000</v>
      </c>
      <c r="Y5" s="82">
        <f t="shared" si="4"/>
        <v>0</v>
      </c>
      <c r="Z5" s="82">
        <f t="shared" si="5"/>
        <v>0</v>
      </c>
      <c r="AA5" s="82">
        <f t="shared" si="6"/>
        <v>0</v>
      </c>
      <c r="AB5" s="83">
        <f t="shared" si="7"/>
        <v>0.8</v>
      </c>
      <c r="AC5" s="83">
        <f t="shared" si="8"/>
        <v>0.4</v>
      </c>
      <c r="AD5" s="78">
        <v>8.0</v>
      </c>
      <c r="AE5" s="83">
        <f t="shared" si="9"/>
        <v>0.375</v>
      </c>
      <c r="AF5" s="78" t="s">
        <v>779</v>
      </c>
      <c r="AG5" s="78" t="s">
        <v>417</v>
      </c>
      <c r="AH5" s="78" t="s">
        <v>788</v>
      </c>
    </row>
    <row r="6">
      <c r="A6" s="78" t="s">
        <v>789</v>
      </c>
      <c r="B6" s="79">
        <v>46162.0</v>
      </c>
      <c r="C6" s="78" t="s">
        <v>790</v>
      </c>
      <c r="D6" s="78" t="s">
        <v>791</v>
      </c>
      <c r="E6" s="78" t="s">
        <v>792</v>
      </c>
      <c r="F6" s="78" t="s">
        <v>793</v>
      </c>
      <c r="G6" s="78" t="s">
        <v>744</v>
      </c>
      <c r="H6" s="78" t="s">
        <v>724</v>
      </c>
      <c r="I6" s="78" t="s">
        <v>748</v>
      </c>
      <c r="J6" s="78" t="s">
        <v>794</v>
      </c>
      <c r="K6" s="78" t="s">
        <v>726</v>
      </c>
      <c r="L6" s="78" t="s">
        <v>553</v>
      </c>
      <c r="M6" s="78">
        <v>4.0</v>
      </c>
      <c r="N6" s="78">
        <v>3.0</v>
      </c>
      <c r="O6" s="78">
        <v>4.0</v>
      </c>
      <c r="P6" s="80">
        <f t="shared" si="1"/>
        <v>11</v>
      </c>
      <c r="Q6" s="80" t="str">
        <f t="shared" si="2"/>
        <v>Affiliate cơ bản</v>
      </c>
      <c r="R6" s="81">
        <v>3.0</v>
      </c>
      <c r="S6" s="81">
        <v>2.0</v>
      </c>
      <c r="T6" s="81">
        <v>2.0</v>
      </c>
      <c r="U6" s="81">
        <v>0.0</v>
      </c>
      <c r="V6" s="81">
        <v>0.0</v>
      </c>
      <c r="W6" s="81">
        <v>0.0</v>
      </c>
      <c r="X6" s="82">
        <f t="shared" si="3"/>
        <v>0</v>
      </c>
      <c r="Y6" s="82">
        <f t="shared" si="4"/>
        <v>0</v>
      </c>
      <c r="Z6" s="82">
        <f t="shared" si="5"/>
        <v>0</v>
      </c>
      <c r="AA6" s="82">
        <f t="shared" si="6"/>
        <v>0</v>
      </c>
      <c r="AB6" s="83">
        <f t="shared" si="7"/>
        <v>0.6666666667</v>
      </c>
      <c r="AC6" s="83">
        <f t="shared" si="8"/>
        <v>0</v>
      </c>
      <c r="AD6" s="78">
        <v>5.0</v>
      </c>
      <c r="AE6" s="83">
        <f t="shared" si="9"/>
        <v>0</v>
      </c>
      <c r="AF6" s="78" t="s">
        <v>795</v>
      </c>
      <c r="AG6" s="78" t="s">
        <v>459</v>
      </c>
      <c r="AH6" s="78" t="s">
        <v>796</v>
      </c>
    </row>
    <row r="7">
      <c r="A7" s="78"/>
      <c r="B7" s="79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80" t="str">
        <f t="shared" si="1"/>
        <v/>
      </c>
      <c r="Q7" s="80" t="str">
        <f t="shared" si="2"/>
        <v/>
      </c>
      <c r="R7" s="81"/>
      <c r="S7" s="81"/>
      <c r="T7" s="81"/>
      <c r="U7" s="81"/>
      <c r="V7" s="81"/>
      <c r="W7" s="81"/>
      <c r="X7" s="82" t="str">
        <f t="shared" si="3"/>
        <v/>
      </c>
      <c r="Y7" s="82" t="str">
        <f t="shared" si="4"/>
        <v/>
      </c>
      <c r="Z7" s="82" t="str">
        <f t="shared" si="5"/>
        <v/>
      </c>
      <c r="AA7" s="82" t="str">
        <f t="shared" si="6"/>
        <v/>
      </c>
      <c r="AB7" s="83">
        <f t="shared" si="7"/>
        <v>0</v>
      </c>
      <c r="AC7" s="83">
        <f t="shared" si="8"/>
        <v>0</v>
      </c>
      <c r="AD7" s="78"/>
      <c r="AE7" s="83">
        <f t="shared" si="9"/>
        <v>0</v>
      </c>
      <c r="AF7" s="78"/>
      <c r="AG7" s="78"/>
      <c r="AH7" s="78"/>
    </row>
    <row r="8">
      <c r="A8" s="78"/>
      <c r="B8" s="79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80" t="str">
        <f t="shared" si="1"/>
        <v/>
      </c>
      <c r="Q8" s="80" t="str">
        <f t="shared" si="2"/>
        <v/>
      </c>
      <c r="R8" s="81"/>
      <c r="S8" s="81"/>
      <c r="T8" s="81"/>
      <c r="U8" s="81"/>
      <c r="V8" s="81"/>
      <c r="W8" s="81"/>
      <c r="X8" s="82" t="str">
        <f t="shared" si="3"/>
        <v/>
      </c>
      <c r="Y8" s="82" t="str">
        <f t="shared" si="4"/>
        <v/>
      </c>
      <c r="Z8" s="82" t="str">
        <f t="shared" si="5"/>
        <v/>
      </c>
      <c r="AA8" s="82" t="str">
        <f t="shared" si="6"/>
        <v/>
      </c>
      <c r="AB8" s="83">
        <f t="shared" si="7"/>
        <v>0</v>
      </c>
      <c r="AC8" s="83">
        <f t="shared" si="8"/>
        <v>0</v>
      </c>
      <c r="AD8" s="78"/>
      <c r="AE8" s="83">
        <f t="shared" si="9"/>
        <v>0</v>
      </c>
      <c r="AF8" s="78"/>
      <c r="AG8" s="78"/>
      <c r="AH8" s="78"/>
    </row>
    <row r="9">
      <c r="A9" s="78"/>
      <c r="B9" s="79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80" t="str">
        <f t="shared" si="1"/>
        <v/>
      </c>
      <c r="Q9" s="80" t="str">
        <f t="shared" si="2"/>
        <v/>
      </c>
      <c r="R9" s="81"/>
      <c r="S9" s="81"/>
      <c r="T9" s="81"/>
      <c r="U9" s="81"/>
      <c r="V9" s="81"/>
      <c r="W9" s="81"/>
      <c r="X9" s="82" t="str">
        <f t="shared" si="3"/>
        <v/>
      </c>
      <c r="Y9" s="82" t="str">
        <f t="shared" si="4"/>
        <v/>
      </c>
      <c r="Z9" s="82" t="str">
        <f t="shared" si="5"/>
        <v/>
      </c>
      <c r="AA9" s="82" t="str">
        <f t="shared" si="6"/>
        <v/>
      </c>
      <c r="AB9" s="83">
        <f t="shared" si="7"/>
        <v>0</v>
      </c>
      <c r="AC9" s="83">
        <f t="shared" si="8"/>
        <v>0</v>
      </c>
      <c r="AD9" s="78"/>
      <c r="AE9" s="83">
        <f t="shared" si="9"/>
        <v>0</v>
      </c>
      <c r="AF9" s="78"/>
      <c r="AG9" s="78"/>
      <c r="AH9" s="78"/>
    </row>
    <row r="10">
      <c r="A10" s="78"/>
      <c r="B10" s="79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80" t="str">
        <f t="shared" si="1"/>
        <v/>
      </c>
      <c r="Q10" s="80" t="str">
        <f t="shared" si="2"/>
        <v/>
      </c>
      <c r="R10" s="81"/>
      <c r="S10" s="81"/>
      <c r="T10" s="81"/>
      <c r="U10" s="81"/>
      <c r="V10" s="81"/>
      <c r="W10" s="81"/>
      <c r="X10" s="82" t="str">
        <f t="shared" si="3"/>
        <v/>
      </c>
      <c r="Y10" s="82" t="str">
        <f t="shared" si="4"/>
        <v/>
      </c>
      <c r="Z10" s="82" t="str">
        <f t="shared" si="5"/>
        <v/>
      </c>
      <c r="AA10" s="82" t="str">
        <f t="shared" si="6"/>
        <v/>
      </c>
      <c r="AB10" s="83">
        <f t="shared" si="7"/>
        <v>0</v>
      </c>
      <c r="AC10" s="83">
        <f t="shared" si="8"/>
        <v>0</v>
      </c>
      <c r="AD10" s="78"/>
      <c r="AE10" s="83">
        <f t="shared" si="9"/>
        <v>0</v>
      </c>
      <c r="AF10" s="78"/>
      <c r="AG10" s="78"/>
      <c r="AH10" s="78"/>
    </row>
    <row r="11">
      <c r="A11" s="78"/>
      <c r="B11" s="79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80" t="str">
        <f t="shared" si="1"/>
        <v/>
      </c>
      <c r="Q11" s="80" t="str">
        <f t="shared" si="2"/>
        <v/>
      </c>
      <c r="R11" s="81"/>
      <c r="S11" s="81"/>
      <c r="T11" s="81"/>
      <c r="U11" s="81"/>
      <c r="V11" s="81"/>
      <c r="W11" s="81"/>
      <c r="X11" s="82" t="str">
        <f t="shared" si="3"/>
        <v/>
      </c>
      <c r="Y11" s="82" t="str">
        <f t="shared" si="4"/>
        <v/>
      </c>
      <c r="Z11" s="82" t="str">
        <f t="shared" si="5"/>
        <v/>
      </c>
      <c r="AA11" s="82" t="str">
        <f t="shared" si="6"/>
        <v/>
      </c>
      <c r="AB11" s="83">
        <f t="shared" si="7"/>
        <v>0</v>
      </c>
      <c r="AC11" s="83">
        <f t="shared" si="8"/>
        <v>0</v>
      </c>
      <c r="AD11" s="78"/>
      <c r="AE11" s="83">
        <f t="shared" si="9"/>
        <v>0</v>
      </c>
      <c r="AF11" s="78"/>
      <c r="AG11" s="78"/>
      <c r="AH11" s="78"/>
    </row>
    <row r="12">
      <c r="A12" s="78"/>
      <c r="B12" s="79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80" t="str">
        <f t="shared" si="1"/>
        <v/>
      </c>
      <c r="Q12" s="80" t="str">
        <f t="shared" si="2"/>
        <v/>
      </c>
      <c r="R12" s="81"/>
      <c r="S12" s="81"/>
      <c r="T12" s="81"/>
      <c r="U12" s="81"/>
      <c r="V12" s="81"/>
      <c r="W12" s="81"/>
      <c r="X12" s="82" t="str">
        <f t="shared" si="3"/>
        <v/>
      </c>
      <c r="Y12" s="82" t="str">
        <f t="shared" si="4"/>
        <v/>
      </c>
      <c r="Z12" s="82" t="str">
        <f t="shared" si="5"/>
        <v/>
      </c>
      <c r="AA12" s="82" t="str">
        <f t="shared" si="6"/>
        <v/>
      </c>
      <c r="AB12" s="83">
        <f t="shared" si="7"/>
        <v>0</v>
      </c>
      <c r="AC12" s="83">
        <f t="shared" si="8"/>
        <v>0</v>
      </c>
      <c r="AD12" s="78"/>
      <c r="AE12" s="83">
        <f t="shared" si="9"/>
        <v>0</v>
      </c>
      <c r="AF12" s="78"/>
      <c r="AG12" s="78"/>
      <c r="AH12" s="78"/>
    </row>
    <row r="13">
      <c r="A13" s="78"/>
      <c r="B13" s="79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80" t="str">
        <f t="shared" si="1"/>
        <v/>
      </c>
      <c r="Q13" s="80" t="str">
        <f t="shared" si="2"/>
        <v/>
      </c>
      <c r="R13" s="81"/>
      <c r="S13" s="81"/>
      <c r="T13" s="81"/>
      <c r="U13" s="81"/>
      <c r="V13" s="81"/>
      <c r="W13" s="81"/>
      <c r="X13" s="82" t="str">
        <f t="shared" si="3"/>
        <v/>
      </c>
      <c r="Y13" s="82" t="str">
        <f t="shared" si="4"/>
        <v/>
      </c>
      <c r="Z13" s="82" t="str">
        <f t="shared" si="5"/>
        <v/>
      </c>
      <c r="AA13" s="82" t="str">
        <f t="shared" si="6"/>
        <v/>
      </c>
      <c r="AB13" s="83">
        <f t="shared" si="7"/>
        <v>0</v>
      </c>
      <c r="AC13" s="83">
        <f t="shared" si="8"/>
        <v>0</v>
      </c>
      <c r="AD13" s="78"/>
      <c r="AE13" s="83">
        <f t="shared" si="9"/>
        <v>0</v>
      </c>
      <c r="AF13" s="78"/>
      <c r="AG13" s="78"/>
      <c r="AH13" s="78"/>
    </row>
    <row r="14">
      <c r="A14" s="78"/>
      <c r="B14" s="79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80" t="str">
        <f t="shared" si="1"/>
        <v/>
      </c>
      <c r="Q14" s="80" t="str">
        <f t="shared" si="2"/>
        <v/>
      </c>
      <c r="R14" s="81"/>
      <c r="S14" s="81"/>
      <c r="T14" s="81"/>
      <c r="U14" s="81"/>
      <c r="V14" s="81"/>
      <c r="W14" s="81"/>
      <c r="X14" s="82" t="str">
        <f t="shared" si="3"/>
        <v/>
      </c>
      <c r="Y14" s="82" t="str">
        <f t="shared" si="4"/>
        <v/>
      </c>
      <c r="Z14" s="82" t="str">
        <f t="shared" si="5"/>
        <v/>
      </c>
      <c r="AA14" s="82" t="str">
        <f t="shared" si="6"/>
        <v/>
      </c>
      <c r="AB14" s="83">
        <f t="shared" si="7"/>
        <v>0</v>
      </c>
      <c r="AC14" s="83">
        <f t="shared" si="8"/>
        <v>0</v>
      </c>
      <c r="AD14" s="78"/>
      <c r="AE14" s="83">
        <f t="shared" si="9"/>
        <v>0</v>
      </c>
      <c r="AF14" s="78"/>
      <c r="AG14" s="78"/>
      <c r="AH14" s="78"/>
    </row>
    <row r="15">
      <c r="A15" s="78"/>
      <c r="B15" s="79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80" t="str">
        <f t="shared" si="1"/>
        <v/>
      </c>
      <c r="Q15" s="80" t="str">
        <f t="shared" si="2"/>
        <v/>
      </c>
      <c r="R15" s="81"/>
      <c r="S15" s="81"/>
      <c r="T15" s="81"/>
      <c r="U15" s="81"/>
      <c r="V15" s="81"/>
      <c r="W15" s="81"/>
      <c r="X15" s="82" t="str">
        <f t="shared" si="3"/>
        <v/>
      </c>
      <c r="Y15" s="82" t="str">
        <f t="shared" si="4"/>
        <v/>
      </c>
      <c r="Z15" s="82" t="str">
        <f t="shared" si="5"/>
        <v/>
      </c>
      <c r="AA15" s="82" t="str">
        <f t="shared" si="6"/>
        <v/>
      </c>
      <c r="AB15" s="83">
        <f t="shared" si="7"/>
        <v>0</v>
      </c>
      <c r="AC15" s="83">
        <f t="shared" si="8"/>
        <v>0</v>
      </c>
      <c r="AD15" s="78"/>
      <c r="AE15" s="83">
        <f t="shared" si="9"/>
        <v>0</v>
      </c>
      <c r="AF15" s="78"/>
      <c r="AG15" s="78"/>
      <c r="AH15" s="78"/>
    </row>
    <row r="16">
      <c r="A16" s="78"/>
      <c r="B16" s="79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80" t="str">
        <f t="shared" si="1"/>
        <v/>
      </c>
      <c r="Q16" s="80" t="str">
        <f t="shared" si="2"/>
        <v/>
      </c>
      <c r="R16" s="81"/>
      <c r="S16" s="81"/>
      <c r="T16" s="81"/>
      <c r="U16" s="81"/>
      <c r="V16" s="81"/>
      <c r="W16" s="81"/>
      <c r="X16" s="82" t="str">
        <f t="shared" si="3"/>
        <v/>
      </c>
      <c r="Y16" s="82" t="str">
        <f t="shared" si="4"/>
        <v/>
      </c>
      <c r="Z16" s="82" t="str">
        <f t="shared" si="5"/>
        <v/>
      </c>
      <c r="AA16" s="82" t="str">
        <f t="shared" si="6"/>
        <v/>
      </c>
      <c r="AB16" s="83">
        <f t="shared" si="7"/>
        <v>0</v>
      </c>
      <c r="AC16" s="83">
        <f t="shared" si="8"/>
        <v>0</v>
      </c>
      <c r="AD16" s="78"/>
      <c r="AE16" s="83">
        <f t="shared" si="9"/>
        <v>0</v>
      </c>
      <c r="AF16" s="78"/>
      <c r="AG16" s="78"/>
      <c r="AH16" s="78"/>
    </row>
    <row r="17">
      <c r="A17" s="78"/>
      <c r="B17" s="79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80" t="str">
        <f t="shared" si="1"/>
        <v/>
      </c>
      <c r="Q17" s="80" t="str">
        <f t="shared" si="2"/>
        <v/>
      </c>
      <c r="R17" s="81"/>
      <c r="S17" s="81"/>
      <c r="T17" s="81"/>
      <c r="U17" s="81"/>
      <c r="V17" s="81"/>
      <c r="W17" s="81"/>
      <c r="X17" s="82" t="str">
        <f t="shared" si="3"/>
        <v/>
      </c>
      <c r="Y17" s="82" t="str">
        <f t="shared" si="4"/>
        <v/>
      </c>
      <c r="Z17" s="82" t="str">
        <f t="shared" si="5"/>
        <v/>
      </c>
      <c r="AA17" s="82" t="str">
        <f t="shared" si="6"/>
        <v/>
      </c>
      <c r="AB17" s="83">
        <f t="shared" si="7"/>
        <v>0</v>
      </c>
      <c r="AC17" s="83">
        <f t="shared" si="8"/>
        <v>0</v>
      </c>
      <c r="AD17" s="78"/>
      <c r="AE17" s="83">
        <f t="shared" si="9"/>
        <v>0</v>
      </c>
      <c r="AF17" s="78"/>
      <c r="AG17" s="78"/>
      <c r="AH17" s="78"/>
    </row>
    <row r="18">
      <c r="A18" s="78"/>
      <c r="B18" s="79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80" t="str">
        <f t="shared" si="1"/>
        <v/>
      </c>
      <c r="Q18" s="80" t="str">
        <f t="shared" si="2"/>
        <v/>
      </c>
      <c r="R18" s="81"/>
      <c r="S18" s="81"/>
      <c r="T18" s="81"/>
      <c r="U18" s="81"/>
      <c r="V18" s="81"/>
      <c r="W18" s="81"/>
      <c r="X18" s="82" t="str">
        <f t="shared" si="3"/>
        <v/>
      </c>
      <c r="Y18" s="82" t="str">
        <f t="shared" si="4"/>
        <v/>
      </c>
      <c r="Z18" s="82" t="str">
        <f t="shared" si="5"/>
        <v/>
      </c>
      <c r="AA18" s="82" t="str">
        <f t="shared" si="6"/>
        <v/>
      </c>
      <c r="AB18" s="83">
        <f t="shared" si="7"/>
        <v>0</v>
      </c>
      <c r="AC18" s="83">
        <f t="shared" si="8"/>
        <v>0</v>
      </c>
      <c r="AD18" s="78"/>
      <c r="AE18" s="83">
        <f t="shared" si="9"/>
        <v>0</v>
      </c>
      <c r="AF18" s="78"/>
      <c r="AG18" s="78"/>
      <c r="AH18" s="78"/>
    </row>
    <row r="19">
      <c r="A19" s="78"/>
      <c r="B19" s="79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80" t="str">
        <f t="shared" si="1"/>
        <v/>
      </c>
      <c r="Q19" s="80" t="str">
        <f t="shared" si="2"/>
        <v/>
      </c>
      <c r="R19" s="81"/>
      <c r="S19" s="81"/>
      <c r="T19" s="81"/>
      <c r="U19" s="81"/>
      <c r="V19" s="81"/>
      <c r="W19" s="81"/>
      <c r="X19" s="82" t="str">
        <f t="shared" si="3"/>
        <v/>
      </c>
      <c r="Y19" s="82" t="str">
        <f t="shared" si="4"/>
        <v/>
      </c>
      <c r="Z19" s="82" t="str">
        <f t="shared" si="5"/>
        <v/>
      </c>
      <c r="AA19" s="82" t="str">
        <f t="shared" si="6"/>
        <v/>
      </c>
      <c r="AB19" s="83">
        <f t="shared" si="7"/>
        <v>0</v>
      </c>
      <c r="AC19" s="83">
        <f t="shared" si="8"/>
        <v>0</v>
      </c>
      <c r="AD19" s="78"/>
      <c r="AE19" s="83">
        <f t="shared" si="9"/>
        <v>0</v>
      </c>
      <c r="AF19" s="78"/>
      <c r="AG19" s="78"/>
      <c r="AH19" s="78"/>
    </row>
    <row r="20">
      <c r="A20" s="78"/>
      <c r="B20" s="79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80" t="str">
        <f t="shared" si="1"/>
        <v/>
      </c>
      <c r="Q20" s="80" t="str">
        <f t="shared" si="2"/>
        <v/>
      </c>
      <c r="R20" s="81"/>
      <c r="S20" s="81"/>
      <c r="T20" s="81"/>
      <c r="U20" s="81"/>
      <c r="V20" s="81"/>
      <c r="W20" s="81"/>
      <c r="X20" s="82" t="str">
        <f t="shared" si="3"/>
        <v/>
      </c>
      <c r="Y20" s="82" t="str">
        <f t="shared" si="4"/>
        <v/>
      </c>
      <c r="Z20" s="82" t="str">
        <f t="shared" si="5"/>
        <v/>
      </c>
      <c r="AA20" s="82" t="str">
        <f t="shared" si="6"/>
        <v/>
      </c>
      <c r="AB20" s="83">
        <f t="shared" si="7"/>
        <v>0</v>
      </c>
      <c r="AC20" s="83">
        <f t="shared" si="8"/>
        <v>0</v>
      </c>
      <c r="AD20" s="78"/>
      <c r="AE20" s="83">
        <f t="shared" si="9"/>
        <v>0</v>
      </c>
      <c r="AF20" s="78"/>
      <c r="AG20" s="78"/>
      <c r="AH20" s="78"/>
    </row>
    <row r="21" ht="15.75" customHeight="1">
      <c r="A21" s="78"/>
      <c r="B21" s="79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80" t="str">
        <f t="shared" si="1"/>
        <v/>
      </c>
      <c r="Q21" s="80" t="str">
        <f t="shared" si="2"/>
        <v/>
      </c>
      <c r="R21" s="81"/>
      <c r="S21" s="81"/>
      <c r="T21" s="81"/>
      <c r="U21" s="81"/>
      <c r="V21" s="81"/>
      <c r="W21" s="81"/>
      <c r="X21" s="82" t="str">
        <f t="shared" si="3"/>
        <v/>
      </c>
      <c r="Y21" s="82" t="str">
        <f t="shared" si="4"/>
        <v/>
      </c>
      <c r="Z21" s="82" t="str">
        <f t="shared" si="5"/>
        <v/>
      </c>
      <c r="AA21" s="82" t="str">
        <f t="shared" si="6"/>
        <v/>
      </c>
      <c r="AB21" s="83">
        <f t="shared" si="7"/>
        <v>0</v>
      </c>
      <c r="AC21" s="83">
        <f t="shared" si="8"/>
        <v>0</v>
      </c>
      <c r="AD21" s="78"/>
      <c r="AE21" s="83">
        <f t="shared" si="9"/>
        <v>0</v>
      </c>
      <c r="AF21" s="78"/>
      <c r="AG21" s="78"/>
      <c r="AH21" s="78"/>
    </row>
    <row r="22" ht="15.75" customHeight="1">
      <c r="A22" s="78"/>
      <c r="B22" s="79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80" t="str">
        <f t="shared" si="1"/>
        <v/>
      </c>
      <c r="Q22" s="80" t="str">
        <f t="shared" si="2"/>
        <v/>
      </c>
      <c r="R22" s="81"/>
      <c r="S22" s="81"/>
      <c r="T22" s="81"/>
      <c r="U22" s="81"/>
      <c r="V22" s="81"/>
      <c r="W22" s="81"/>
      <c r="X22" s="82" t="str">
        <f t="shared" si="3"/>
        <v/>
      </c>
      <c r="Y22" s="82" t="str">
        <f t="shared" si="4"/>
        <v/>
      </c>
      <c r="Z22" s="82" t="str">
        <f t="shared" si="5"/>
        <v/>
      </c>
      <c r="AA22" s="82" t="str">
        <f t="shared" si="6"/>
        <v/>
      </c>
      <c r="AB22" s="83">
        <f t="shared" si="7"/>
        <v>0</v>
      </c>
      <c r="AC22" s="83">
        <f t="shared" si="8"/>
        <v>0</v>
      </c>
      <c r="AD22" s="78"/>
      <c r="AE22" s="83">
        <f t="shared" si="9"/>
        <v>0</v>
      </c>
      <c r="AF22" s="78"/>
      <c r="AG22" s="78"/>
      <c r="AH22" s="78"/>
    </row>
    <row r="23" ht="15.75" customHeight="1">
      <c r="A23" s="78"/>
      <c r="B23" s="79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80" t="str">
        <f t="shared" si="1"/>
        <v/>
      </c>
      <c r="Q23" s="80" t="str">
        <f t="shared" si="2"/>
        <v/>
      </c>
      <c r="R23" s="81"/>
      <c r="S23" s="81"/>
      <c r="T23" s="81"/>
      <c r="U23" s="81"/>
      <c r="V23" s="81"/>
      <c r="W23" s="81"/>
      <c r="X23" s="82" t="str">
        <f t="shared" si="3"/>
        <v/>
      </c>
      <c r="Y23" s="82" t="str">
        <f t="shared" si="4"/>
        <v/>
      </c>
      <c r="Z23" s="82" t="str">
        <f t="shared" si="5"/>
        <v/>
      </c>
      <c r="AA23" s="82" t="str">
        <f t="shared" si="6"/>
        <v/>
      </c>
      <c r="AB23" s="83">
        <f t="shared" si="7"/>
        <v>0</v>
      </c>
      <c r="AC23" s="83">
        <f t="shared" si="8"/>
        <v>0</v>
      </c>
      <c r="AD23" s="78"/>
      <c r="AE23" s="83">
        <f t="shared" si="9"/>
        <v>0</v>
      </c>
      <c r="AF23" s="78"/>
      <c r="AG23" s="78"/>
      <c r="AH23" s="78"/>
    </row>
    <row r="24" ht="15.75" customHeight="1">
      <c r="A24" s="78"/>
      <c r="B24" s="79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80" t="str">
        <f t="shared" si="1"/>
        <v/>
      </c>
      <c r="Q24" s="80" t="str">
        <f t="shared" si="2"/>
        <v/>
      </c>
      <c r="R24" s="81"/>
      <c r="S24" s="81"/>
      <c r="T24" s="81"/>
      <c r="U24" s="81"/>
      <c r="V24" s="81"/>
      <c r="W24" s="81"/>
      <c r="X24" s="82" t="str">
        <f t="shared" si="3"/>
        <v/>
      </c>
      <c r="Y24" s="82" t="str">
        <f t="shared" si="4"/>
        <v/>
      </c>
      <c r="Z24" s="82" t="str">
        <f t="shared" si="5"/>
        <v/>
      </c>
      <c r="AA24" s="82" t="str">
        <f t="shared" si="6"/>
        <v/>
      </c>
      <c r="AB24" s="83">
        <f t="shared" si="7"/>
        <v>0</v>
      </c>
      <c r="AC24" s="83">
        <f t="shared" si="8"/>
        <v>0</v>
      </c>
      <c r="AD24" s="78"/>
      <c r="AE24" s="83">
        <f t="shared" si="9"/>
        <v>0</v>
      </c>
      <c r="AF24" s="78"/>
      <c r="AG24" s="78"/>
      <c r="AH24" s="78"/>
    </row>
    <row r="25" ht="15.75" customHeight="1">
      <c r="A25" s="78"/>
      <c r="B25" s="79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80" t="str">
        <f t="shared" si="1"/>
        <v/>
      </c>
      <c r="Q25" s="80" t="str">
        <f t="shared" si="2"/>
        <v/>
      </c>
      <c r="R25" s="81"/>
      <c r="S25" s="81"/>
      <c r="T25" s="81"/>
      <c r="U25" s="81"/>
      <c r="V25" s="81"/>
      <c r="W25" s="81"/>
      <c r="X25" s="82" t="str">
        <f t="shared" si="3"/>
        <v/>
      </c>
      <c r="Y25" s="82" t="str">
        <f t="shared" si="4"/>
        <v/>
      </c>
      <c r="Z25" s="82" t="str">
        <f t="shared" si="5"/>
        <v/>
      </c>
      <c r="AA25" s="82" t="str">
        <f t="shared" si="6"/>
        <v/>
      </c>
      <c r="AB25" s="83">
        <f t="shared" si="7"/>
        <v>0</v>
      </c>
      <c r="AC25" s="83">
        <f t="shared" si="8"/>
        <v>0</v>
      </c>
      <c r="AD25" s="78"/>
      <c r="AE25" s="83">
        <f t="shared" si="9"/>
        <v>0</v>
      </c>
      <c r="AF25" s="78"/>
      <c r="AG25" s="78"/>
      <c r="AH25" s="78"/>
    </row>
    <row r="26" ht="15.75" customHeight="1">
      <c r="A26" s="78"/>
      <c r="B26" s="79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80" t="str">
        <f t="shared" si="1"/>
        <v/>
      </c>
      <c r="Q26" s="80" t="str">
        <f t="shared" si="2"/>
        <v/>
      </c>
      <c r="R26" s="81"/>
      <c r="S26" s="81"/>
      <c r="T26" s="81"/>
      <c r="U26" s="81"/>
      <c r="V26" s="81"/>
      <c r="W26" s="81"/>
      <c r="X26" s="82" t="str">
        <f t="shared" si="3"/>
        <v/>
      </c>
      <c r="Y26" s="82" t="str">
        <f t="shared" si="4"/>
        <v/>
      </c>
      <c r="Z26" s="82" t="str">
        <f t="shared" si="5"/>
        <v/>
      </c>
      <c r="AA26" s="82" t="str">
        <f t="shared" si="6"/>
        <v/>
      </c>
      <c r="AB26" s="83">
        <f t="shared" si="7"/>
        <v>0</v>
      </c>
      <c r="AC26" s="83">
        <f t="shared" si="8"/>
        <v>0</v>
      </c>
      <c r="AD26" s="78"/>
      <c r="AE26" s="83">
        <f t="shared" si="9"/>
        <v>0</v>
      </c>
      <c r="AF26" s="78"/>
      <c r="AG26" s="78"/>
      <c r="AH26" s="78"/>
    </row>
    <row r="27" ht="15.75" customHeight="1">
      <c r="A27" s="78"/>
      <c r="B27" s="79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80" t="str">
        <f t="shared" si="1"/>
        <v/>
      </c>
      <c r="Q27" s="80" t="str">
        <f t="shared" si="2"/>
        <v/>
      </c>
      <c r="R27" s="81"/>
      <c r="S27" s="81"/>
      <c r="T27" s="81"/>
      <c r="U27" s="81"/>
      <c r="V27" s="81"/>
      <c r="W27" s="81"/>
      <c r="X27" s="82" t="str">
        <f t="shared" si="3"/>
        <v/>
      </c>
      <c r="Y27" s="82" t="str">
        <f t="shared" si="4"/>
        <v/>
      </c>
      <c r="Z27" s="82" t="str">
        <f t="shared" si="5"/>
        <v/>
      </c>
      <c r="AA27" s="82" t="str">
        <f t="shared" si="6"/>
        <v/>
      </c>
      <c r="AB27" s="83">
        <f t="shared" si="7"/>
        <v>0</v>
      </c>
      <c r="AC27" s="83">
        <f t="shared" si="8"/>
        <v>0</v>
      </c>
      <c r="AD27" s="78"/>
      <c r="AE27" s="83">
        <f t="shared" si="9"/>
        <v>0</v>
      </c>
      <c r="AF27" s="78"/>
      <c r="AG27" s="78"/>
      <c r="AH27" s="78"/>
    </row>
    <row r="28" ht="15.75" customHeight="1">
      <c r="A28" s="78"/>
      <c r="B28" s="79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80" t="str">
        <f t="shared" si="1"/>
        <v/>
      </c>
      <c r="Q28" s="80" t="str">
        <f t="shared" si="2"/>
        <v/>
      </c>
      <c r="R28" s="81"/>
      <c r="S28" s="81"/>
      <c r="T28" s="81"/>
      <c r="U28" s="81"/>
      <c r="V28" s="81"/>
      <c r="W28" s="81"/>
      <c r="X28" s="82" t="str">
        <f t="shared" si="3"/>
        <v/>
      </c>
      <c r="Y28" s="82" t="str">
        <f t="shared" si="4"/>
        <v/>
      </c>
      <c r="Z28" s="82" t="str">
        <f t="shared" si="5"/>
        <v/>
      </c>
      <c r="AA28" s="82" t="str">
        <f t="shared" si="6"/>
        <v/>
      </c>
      <c r="AB28" s="83">
        <f t="shared" si="7"/>
        <v>0</v>
      </c>
      <c r="AC28" s="83">
        <f t="shared" si="8"/>
        <v>0</v>
      </c>
      <c r="AD28" s="78"/>
      <c r="AE28" s="83">
        <f t="shared" si="9"/>
        <v>0</v>
      </c>
      <c r="AF28" s="78"/>
      <c r="AG28" s="78"/>
      <c r="AH28" s="78"/>
    </row>
    <row r="29" ht="15.75" customHeight="1">
      <c r="A29" s="78"/>
      <c r="B29" s="79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80" t="str">
        <f t="shared" si="1"/>
        <v/>
      </c>
      <c r="Q29" s="80" t="str">
        <f t="shared" si="2"/>
        <v/>
      </c>
      <c r="R29" s="81"/>
      <c r="S29" s="81"/>
      <c r="T29" s="81"/>
      <c r="U29" s="81"/>
      <c r="V29" s="81"/>
      <c r="W29" s="81"/>
      <c r="X29" s="82" t="str">
        <f t="shared" si="3"/>
        <v/>
      </c>
      <c r="Y29" s="82" t="str">
        <f t="shared" si="4"/>
        <v/>
      </c>
      <c r="Z29" s="82" t="str">
        <f t="shared" si="5"/>
        <v/>
      </c>
      <c r="AA29" s="82" t="str">
        <f t="shared" si="6"/>
        <v/>
      </c>
      <c r="AB29" s="83">
        <f t="shared" si="7"/>
        <v>0</v>
      </c>
      <c r="AC29" s="83">
        <f t="shared" si="8"/>
        <v>0</v>
      </c>
      <c r="AD29" s="78"/>
      <c r="AE29" s="83">
        <f t="shared" si="9"/>
        <v>0</v>
      </c>
      <c r="AF29" s="78"/>
      <c r="AG29" s="78"/>
      <c r="AH29" s="78"/>
    </row>
    <row r="30" ht="15.75" customHeight="1">
      <c r="A30" s="78"/>
      <c r="B30" s="79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80" t="str">
        <f t="shared" si="1"/>
        <v/>
      </c>
      <c r="Q30" s="80" t="str">
        <f t="shared" si="2"/>
        <v/>
      </c>
      <c r="R30" s="81"/>
      <c r="S30" s="81"/>
      <c r="T30" s="81"/>
      <c r="U30" s="81"/>
      <c r="V30" s="81"/>
      <c r="W30" s="81"/>
      <c r="X30" s="82" t="str">
        <f t="shared" si="3"/>
        <v/>
      </c>
      <c r="Y30" s="82" t="str">
        <f t="shared" si="4"/>
        <v/>
      </c>
      <c r="Z30" s="82" t="str">
        <f t="shared" si="5"/>
        <v/>
      </c>
      <c r="AA30" s="82" t="str">
        <f t="shared" si="6"/>
        <v/>
      </c>
      <c r="AB30" s="83">
        <f t="shared" si="7"/>
        <v>0</v>
      </c>
      <c r="AC30" s="83">
        <f t="shared" si="8"/>
        <v>0</v>
      </c>
      <c r="AD30" s="78"/>
      <c r="AE30" s="83">
        <f t="shared" si="9"/>
        <v>0</v>
      </c>
      <c r="AF30" s="78"/>
      <c r="AG30" s="78"/>
      <c r="AH30" s="78"/>
    </row>
    <row r="31" ht="15.75" customHeight="1">
      <c r="A31" s="78"/>
      <c r="B31" s="79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80" t="str">
        <f t="shared" si="1"/>
        <v/>
      </c>
      <c r="Q31" s="80" t="str">
        <f t="shared" si="2"/>
        <v/>
      </c>
      <c r="R31" s="81"/>
      <c r="S31" s="81"/>
      <c r="T31" s="81"/>
      <c r="U31" s="81"/>
      <c r="V31" s="81"/>
      <c r="W31" s="81"/>
      <c r="X31" s="82" t="str">
        <f t="shared" si="3"/>
        <v/>
      </c>
      <c r="Y31" s="82" t="str">
        <f t="shared" si="4"/>
        <v/>
      </c>
      <c r="Z31" s="82" t="str">
        <f t="shared" si="5"/>
        <v/>
      </c>
      <c r="AA31" s="82" t="str">
        <f t="shared" si="6"/>
        <v/>
      </c>
      <c r="AB31" s="83">
        <f t="shared" si="7"/>
        <v>0</v>
      </c>
      <c r="AC31" s="83">
        <f t="shared" si="8"/>
        <v>0</v>
      </c>
      <c r="AD31" s="78"/>
      <c r="AE31" s="83">
        <f t="shared" si="9"/>
        <v>0</v>
      </c>
      <c r="AF31" s="78"/>
      <c r="AG31" s="78"/>
      <c r="AH31" s="78"/>
    </row>
    <row r="32" ht="15.75" customHeight="1">
      <c r="A32" s="78"/>
      <c r="B32" s="79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80" t="str">
        <f t="shared" si="1"/>
        <v/>
      </c>
      <c r="Q32" s="80" t="str">
        <f t="shared" si="2"/>
        <v/>
      </c>
      <c r="R32" s="81"/>
      <c r="S32" s="81"/>
      <c r="T32" s="81"/>
      <c r="U32" s="81"/>
      <c r="V32" s="81"/>
      <c r="W32" s="81"/>
      <c r="X32" s="82" t="str">
        <f t="shared" si="3"/>
        <v/>
      </c>
      <c r="Y32" s="82" t="str">
        <f t="shared" si="4"/>
        <v/>
      </c>
      <c r="Z32" s="82" t="str">
        <f t="shared" si="5"/>
        <v/>
      </c>
      <c r="AA32" s="82" t="str">
        <f t="shared" si="6"/>
        <v/>
      </c>
      <c r="AB32" s="83">
        <f t="shared" si="7"/>
        <v>0</v>
      </c>
      <c r="AC32" s="83">
        <f t="shared" si="8"/>
        <v>0</v>
      </c>
      <c r="AD32" s="78"/>
      <c r="AE32" s="83">
        <f t="shared" si="9"/>
        <v>0</v>
      </c>
      <c r="AF32" s="78"/>
      <c r="AG32" s="78"/>
      <c r="AH32" s="78"/>
    </row>
    <row r="33" ht="15.75" customHeight="1">
      <c r="A33" s="78"/>
      <c r="B33" s="79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80" t="str">
        <f t="shared" si="1"/>
        <v/>
      </c>
      <c r="Q33" s="80" t="str">
        <f t="shared" si="2"/>
        <v/>
      </c>
      <c r="R33" s="81"/>
      <c r="S33" s="81"/>
      <c r="T33" s="81"/>
      <c r="U33" s="81"/>
      <c r="V33" s="81"/>
      <c r="W33" s="81"/>
      <c r="X33" s="82" t="str">
        <f t="shared" si="3"/>
        <v/>
      </c>
      <c r="Y33" s="82" t="str">
        <f t="shared" si="4"/>
        <v/>
      </c>
      <c r="Z33" s="82" t="str">
        <f t="shared" si="5"/>
        <v/>
      </c>
      <c r="AA33" s="82" t="str">
        <f t="shared" si="6"/>
        <v/>
      </c>
      <c r="AB33" s="83">
        <f t="shared" si="7"/>
        <v>0</v>
      </c>
      <c r="AC33" s="83">
        <f t="shared" si="8"/>
        <v>0</v>
      </c>
      <c r="AD33" s="78"/>
      <c r="AE33" s="83">
        <f t="shared" si="9"/>
        <v>0</v>
      </c>
      <c r="AF33" s="78"/>
      <c r="AG33" s="78"/>
      <c r="AH33" s="78"/>
    </row>
    <row r="34" ht="15.75" customHeight="1">
      <c r="A34" s="78"/>
      <c r="B34" s="79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80" t="str">
        <f t="shared" si="1"/>
        <v/>
      </c>
      <c r="Q34" s="80" t="str">
        <f t="shared" si="2"/>
        <v/>
      </c>
      <c r="R34" s="81"/>
      <c r="S34" s="81"/>
      <c r="T34" s="81"/>
      <c r="U34" s="81"/>
      <c r="V34" s="81"/>
      <c r="W34" s="81"/>
      <c r="X34" s="82" t="str">
        <f t="shared" si="3"/>
        <v/>
      </c>
      <c r="Y34" s="82" t="str">
        <f t="shared" si="4"/>
        <v/>
      </c>
      <c r="Z34" s="82" t="str">
        <f t="shared" si="5"/>
        <v/>
      </c>
      <c r="AA34" s="82" t="str">
        <f t="shared" si="6"/>
        <v/>
      </c>
      <c r="AB34" s="83">
        <f t="shared" si="7"/>
        <v>0</v>
      </c>
      <c r="AC34" s="83">
        <f t="shared" si="8"/>
        <v>0</v>
      </c>
      <c r="AD34" s="78"/>
      <c r="AE34" s="83">
        <f t="shared" si="9"/>
        <v>0</v>
      </c>
      <c r="AF34" s="78"/>
      <c r="AG34" s="78"/>
      <c r="AH34" s="78"/>
    </row>
    <row r="35" ht="15.75" customHeight="1">
      <c r="A35" s="78"/>
      <c r="B35" s="79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80" t="str">
        <f t="shared" si="1"/>
        <v/>
      </c>
      <c r="Q35" s="80" t="str">
        <f t="shared" si="2"/>
        <v/>
      </c>
      <c r="R35" s="81"/>
      <c r="S35" s="81"/>
      <c r="T35" s="81"/>
      <c r="U35" s="81"/>
      <c r="V35" s="81"/>
      <c r="W35" s="81"/>
      <c r="X35" s="82" t="str">
        <f t="shared" si="3"/>
        <v/>
      </c>
      <c r="Y35" s="82" t="str">
        <f t="shared" si="4"/>
        <v/>
      </c>
      <c r="Z35" s="82" t="str">
        <f t="shared" si="5"/>
        <v/>
      </c>
      <c r="AA35" s="82" t="str">
        <f t="shared" si="6"/>
        <v/>
      </c>
      <c r="AB35" s="83">
        <f t="shared" si="7"/>
        <v>0</v>
      </c>
      <c r="AC35" s="83">
        <f t="shared" si="8"/>
        <v>0</v>
      </c>
      <c r="AD35" s="78"/>
      <c r="AE35" s="83">
        <f t="shared" si="9"/>
        <v>0</v>
      </c>
      <c r="AF35" s="78"/>
      <c r="AG35" s="78"/>
      <c r="AH35" s="78"/>
    </row>
    <row r="36" ht="15.75" customHeight="1">
      <c r="A36" s="78"/>
      <c r="B36" s="79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80" t="str">
        <f t="shared" si="1"/>
        <v/>
      </c>
      <c r="Q36" s="80" t="str">
        <f t="shared" si="2"/>
        <v/>
      </c>
      <c r="R36" s="81"/>
      <c r="S36" s="81"/>
      <c r="T36" s="81"/>
      <c r="U36" s="81"/>
      <c r="V36" s="81"/>
      <c r="W36" s="81"/>
      <c r="X36" s="82" t="str">
        <f t="shared" si="3"/>
        <v/>
      </c>
      <c r="Y36" s="82" t="str">
        <f t="shared" si="4"/>
        <v/>
      </c>
      <c r="Z36" s="82" t="str">
        <f t="shared" si="5"/>
        <v/>
      </c>
      <c r="AA36" s="82" t="str">
        <f t="shared" si="6"/>
        <v/>
      </c>
      <c r="AB36" s="83">
        <f t="shared" si="7"/>
        <v>0</v>
      </c>
      <c r="AC36" s="83">
        <f t="shared" si="8"/>
        <v>0</v>
      </c>
      <c r="AD36" s="78"/>
      <c r="AE36" s="83">
        <f t="shared" si="9"/>
        <v>0</v>
      </c>
      <c r="AF36" s="78"/>
      <c r="AG36" s="78"/>
      <c r="AH36" s="78"/>
    </row>
    <row r="37" ht="15.75" customHeight="1">
      <c r="A37" s="78"/>
      <c r="B37" s="79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80" t="str">
        <f t="shared" si="1"/>
        <v/>
      </c>
      <c r="Q37" s="80" t="str">
        <f t="shared" si="2"/>
        <v/>
      </c>
      <c r="R37" s="81"/>
      <c r="S37" s="81"/>
      <c r="T37" s="81"/>
      <c r="U37" s="81"/>
      <c r="V37" s="81"/>
      <c r="W37" s="81"/>
      <c r="X37" s="82" t="str">
        <f t="shared" si="3"/>
        <v/>
      </c>
      <c r="Y37" s="82" t="str">
        <f t="shared" si="4"/>
        <v/>
      </c>
      <c r="Z37" s="82" t="str">
        <f t="shared" si="5"/>
        <v/>
      </c>
      <c r="AA37" s="82" t="str">
        <f t="shared" si="6"/>
        <v/>
      </c>
      <c r="AB37" s="83">
        <f t="shared" si="7"/>
        <v>0</v>
      </c>
      <c r="AC37" s="83">
        <f t="shared" si="8"/>
        <v>0</v>
      </c>
      <c r="AD37" s="78"/>
      <c r="AE37" s="83">
        <f t="shared" si="9"/>
        <v>0</v>
      </c>
      <c r="AF37" s="78"/>
      <c r="AG37" s="78"/>
      <c r="AH37" s="78"/>
    </row>
    <row r="38" ht="15.75" customHeight="1">
      <c r="A38" s="78"/>
      <c r="B38" s="79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80" t="str">
        <f t="shared" si="1"/>
        <v/>
      </c>
      <c r="Q38" s="80" t="str">
        <f t="shared" si="2"/>
        <v/>
      </c>
      <c r="R38" s="81"/>
      <c r="S38" s="81"/>
      <c r="T38" s="81"/>
      <c r="U38" s="81"/>
      <c r="V38" s="81"/>
      <c r="W38" s="81"/>
      <c r="X38" s="82" t="str">
        <f t="shared" si="3"/>
        <v/>
      </c>
      <c r="Y38" s="82" t="str">
        <f t="shared" si="4"/>
        <v/>
      </c>
      <c r="Z38" s="82" t="str">
        <f t="shared" si="5"/>
        <v/>
      </c>
      <c r="AA38" s="82" t="str">
        <f t="shared" si="6"/>
        <v/>
      </c>
      <c r="AB38" s="83">
        <f t="shared" si="7"/>
        <v>0</v>
      </c>
      <c r="AC38" s="83">
        <f t="shared" si="8"/>
        <v>0</v>
      </c>
      <c r="AD38" s="78"/>
      <c r="AE38" s="83">
        <f t="shared" si="9"/>
        <v>0</v>
      </c>
      <c r="AF38" s="78"/>
      <c r="AG38" s="78"/>
      <c r="AH38" s="78"/>
    </row>
    <row r="39" ht="15.75" customHeight="1">
      <c r="A39" s="78"/>
      <c r="B39" s="79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80" t="str">
        <f t="shared" si="1"/>
        <v/>
      </c>
      <c r="Q39" s="80" t="str">
        <f t="shared" si="2"/>
        <v/>
      </c>
      <c r="R39" s="81"/>
      <c r="S39" s="81"/>
      <c r="T39" s="81"/>
      <c r="U39" s="81"/>
      <c r="V39" s="81"/>
      <c r="W39" s="81"/>
      <c r="X39" s="82" t="str">
        <f t="shared" si="3"/>
        <v/>
      </c>
      <c r="Y39" s="82" t="str">
        <f t="shared" si="4"/>
        <v/>
      </c>
      <c r="Z39" s="82" t="str">
        <f t="shared" si="5"/>
        <v/>
      </c>
      <c r="AA39" s="82" t="str">
        <f t="shared" si="6"/>
        <v/>
      </c>
      <c r="AB39" s="83">
        <f t="shared" si="7"/>
        <v>0</v>
      </c>
      <c r="AC39" s="83">
        <f t="shared" si="8"/>
        <v>0</v>
      </c>
      <c r="AD39" s="78"/>
      <c r="AE39" s="83">
        <f t="shared" si="9"/>
        <v>0</v>
      </c>
      <c r="AF39" s="78"/>
      <c r="AG39" s="78"/>
      <c r="AH39" s="78"/>
    </row>
    <row r="40" ht="15.75" customHeight="1">
      <c r="A40" s="78"/>
      <c r="B40" s="79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80" t="str">
        <f t="shared" si="1"/>
        <v/>
      </c>
      <c r="Q40" s="80" t="str">
        <f t="shared" si="2"/>
        <v/>
      </c>
      <c r="R40" s="81"/>
      <c r="S40" s="81"/>
      <c r="T40" s="81"/>
      <c r="U40" s="81"/>
      <c r="V40" s="81"/>
      <c r="W40" s="81"/>
      <c r="X40" s="82" t="str">
        <f t="shared" si="3"/>
        <v/>
      </c>
      <c r="Y40" s="82" t="str">
        <f t="shared" si="4"/>
        <v/>
      </c>
      <c r="Z40" s="82" t="str">
        <f t="shared" si="5"/>
        <v/>
      </c>
      <c r="AA40" s="82" t="str">
        <f t="shared" si="6"/>
        <v/>
      </c>
      <c r="AB40" s="83">
        <f t="shared" si="7"/>
        <v>0</v>
      </c>
      <c r="AC40" s="83">
        <f t="shared" si="8"/>
        <v>0</v>
      </c>
      <c r="AD40" s="78"/>
      <c r="AE40" s="83">
        <f t="shared" si="9"/>
        <v>0</v>
      </c>
      <c r="AF40" s="78"/>
      <c r="AG40" s="78"/>
      <c r="AH40" s="78"/>
    </row>
    <row r="41" ht="15.75" customHeight="1">
      <c r="A41" s="78"/>
      <c r="B41" s="79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80" t="str">
        <f t="shared" si="1"/>
        <v/>
      </c>
      <c r="Q41" s="80" t="str">
        <f t="shared" si="2"/>
        <v/>
      </c>
      <c r="R41" s="81"/>
      <c r="S41" s="81"/>
      <c r="T41" s="81"/>
      <c r="U41" s="81"/>
      <c r="V41" s="81"/>
      <c r="W41" s="81"/>
      <c r="X41" s="82" t="str">
        <f t="shared" si="3"/>
        <v/>
      </c>
      <c r="Y41" s="82" t="str">
        <f t="shared" si="4"/>
        <v/>
      </c>
      <c r="Z41" s="82" t="str">
        <f t="shared" si="5"/>
        <v/>
      </c>
      <c r="AA41" s="82" t="str">
        <f t="shared" si="6"/>
        <v/>
      </c>
      <c r="AB41" s="83">
        <f t="shared" si="7"/>
        <v>0</v>
      </c>
      <c r="AC41" s="83">
        <f t="shared" si="8"/>
        <v>0</v>
      </c>
      <c r="AD41" s="78"/>
      <c r="AE41" s="83">
        <f t="shared" si="9"/>
        <v>0</v>
      </c>
      <c r="AF41" s="78"/>
      <c r="AG41" s="78"/>
      <c r="AH41" s="78"/>
    </row>
    <row r="42" ht="15.75" customHeight="1">
      <c r="A42" s="78"/>
      <c r="B42" s="79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80" t="str">
        <f t="shared" si="1"/>
        <v/>
      </c>
      <c r="Q42" s="80" t="str">
        <f t="shared" si="2"/>
        <v/>
      </c>
      <c r="R42" s="81"/>
      <c r="S42" s="81"/>
      <c r="T42" s="81"/>
      <c r="U42" s="81"/>
      <c r="V42" s="81"/>
      <c r="W42" s="81"/>
      <c r="X42" s="82" t="str">
        <f t="shared" si="3"/>
        <v/>
      </c>
      <c r="Y42" s="82" t="str">
        <f t="shared" si="4"/>
        <v/>
      </c>
      <c r="Z42" s="82" t="str">
        <f t="shared" si="5"/>
        <v/>
      </c>
      <c r="AA42" s="82" t="str">
        <f t="shared" si="6"/>
        <v/>
      </c>
      <c r="AB42" s="83">
        <f t="shared" si="7"/>
        <v>0</v>
      </c>
      <c r="AC42" s="83">
        <f t="shared" si="8"/>
        <v>0</v>
      </c>
      <c r="AD42" s="78"/>
      <c r="AE42" s="83">
        <f t="shared" si="9"/>
        <v>0</v>
      </c>
      <c r="AF42" s="78"/>
      <c r="AG42" s="78"/>
      <c r="AH42" s="78"/>
    </row>
    <row r="43" ht="15.75" customHeight="1">
      <c r="A43" s="78"/>
      <c r="B43" s="79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80" t="str">
        <f t="shared" si="1"/>
        <v/>
      </c>
      <c r="Q43" s="80" t="str">
        <f t="shared" si="2"/>
        <v/>
      </c>
      <c r="R43" s="81"/>
      <c r="S43" s="81"/>
      <c r="T43" s="81"/>
      <c r="U43" s="81"/>
      <c r="V43" s="81"/>
      <c r="W43" s="81"/>
      <c r="X43" s="82" t="str">
        <f t="shared" si="3"/>
        <v/>
      </c>
      <c r="Y43" s="82" t="str">
        <f t="shared" si="4"/>
        <v/>
      </c>
      <c r="Z43" s="82" t="str">
        <f t="shared" si="5"/>
        <v/>
      </c>
      <c r="AA43" s="82" t="str">
        <f t="shared" si="6"/>
        <v/>
      </c>
      <c r="AB43" s="83">
        <f t="shared" si="7"/>
        <v>0</v>
      </c>
      <c r="AC43" s="83">
        <f t="shared" si="8"/>
        <v>0</v>
      </c>
      <c r="AD43" s="78"/>
      <c r="AE43" s="83">
        <f t="shared" si="9"/>
        <v>0</v>
      </c>
      <c r="AF43" s="78"/>
      <c r="AG43" s="78"/>
      <c r="AH43" s="78"/>
    </row>
    <row r="44" ht="15.75" customHeight="1">
      <c r="A44" s="78"/>
      <c r="B44" s="79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0" t="str">
        <f t="shared" si="1"/>
        <v/>
      </c>
      <c r="Q44" s="80" t="str">
        <f t="shared" si="2"/>
        <v/>
      </c>
      <c r="R44" s="81"/>
      <c r="S44" s="81"/>
      <c r="T44" s="81"/>
      <c r="U44" s="81"/>
      <c r="V44" s="81"/>
      <c r="W44" s="81"/>
      <c r="X44" s="82" t="str">
        <f t="shared" si="3"/>
        <v/>
      </c>
      <c r="Y44" s="82" t="str">
        <f t="shared" si="4"/>
        <v/>
      </c>
      <c r="Z44" s="82" t="str">
        <f t="shared" si="5"/>
        <v/>
      </c>
      <c r="AA44" s="82" t="str">
        <f t="shared" si="6"/>
        <v/>
      </c>
      <c r="AB44" s="83">
        <f t="shared" si="7"/>
        <v>0</v>
      </c>
      <c r="AC44" s="83">
        <f t="shared" si="8"/>
        <v>0</v>
      </c>
      <c r="AD44" s="78"/>
      <c r="AE44" s="83">
        <f t="shared" si="9"/>
        <v>0</v>
      </c>
      <c r="AF44" s="78"/>
      <c r="AG44" s="78"/>
      <c r="AH44" s="78"/>
    </row>
    <row r="45" ht="15.75" customHeight="1">
      <c r="A45" s="78"/>
      <c r="B45" s="79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80" t="str">
        <f t="shared" si="1"/>
        <v/>
      </c>
      <c r="Q45" s="80" t="str">
        <f t="shared" si="2"/>
        <v/>
      </c>
      <c r="R45" s="81"/>
      <c r="S45" s="81"/>
      <c r="T45" s="81"/>
      <c r="U45" s="81"/>
      <c r="V45" s="81"/>
      <c r="W45" s="81"/>
      <c r="X45" s="82" t="str">
        <f t="shared" si="3"/>
        <v/>
      </c>
      <c r="Y45" s="82" t="str">
        <f t="shared" si="4"/>
        <v/>
      </c>
      <c r="Z45" s="82" t="str">
        <f t="shared" si="5"/>
        <v/>
      </c>
      <c r="AA45" s="82" t="str">
        <f t="shared" si="6"/>
        <v/>
      </c>
      <c r="AB45" s="83">
        <f t="shared" si="7"/>
        <v>0</v>
      </c>
      <c r="AC45" s="83">
        <f t="shared" si="8"/>
        <v>0</v>
      </c>
      <c r="AD45" s="78"/>
      <c r="AE45" s="83">
        <f t="shared" si="9"/>
        <v>0</v>
      </c>
      <c r="AF45" s="78"/>
      <c r="AG45" s="78"/>
      <c r="AH45" s="78"/>
    </row>
    <row r="46" ht="15.75" customHeight="1">
      <c r="A46" s="78"/>
      <c r="B46" s="79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80" t="str">
        <f t="shared" si="1"/>
        <v/>
      </c>
      <c r="Q46" s="80" t="str">
        <f t="shared" si="2"/>
        <v/>
      </c>
      <c r="R46" s="81"/>
      <c r="S46" s="81"/>
      <c r="T46" s="81"/>
      <c r="U46" s="81"/>
      <c r="V46" s="81"/>
      <c r="W46" s="81"/>
      <c r="X46" s="82" t="str">
        <f t="shared" si="3"/>
        <v/>
      </c>
      <c r="Y46" s="82" t="str">
        <f t="shared" si="4"/>
        <v/>
      </c>
      <c r="Z46" s="82" t="str">
        <f t="shared" si="5"/>
        <v/>
      </c>
      <c r="AA46" s="82" t="str">
        <f t="shared" si="6"/>
        <v/>
      </c>
      <c r="AB46" s="83">
        <f t="shared" si="7"/>
        <v>0</v>
      </c>
      <c r="AC46" s="83">
        <f t="shared" si="8"/>
        <v>0</v>
      </c>
      <c r="AD46" s="78"/>
      <c r="AE46" s="83">
        <f t="shared" si="9"/>
        <v>0</v>
      </c>
      <c r="AF46" s="78"/>
      <c r="AG46" s="78"/>
      <c r="AH46" s="78"/>
    </row>
    <row r="47" ht="15.75" customHeight="1">
      <c r="A47" s="78"/>
      <c r="B47" s="79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80" t="str">
        <f t="shared" si="1"/>
        <v/>
      </c>
      <c r="Q47" s="80" t="str">
        <f t="shared" si="2"/>
        <v/>
      </c>
      <c r="R47" s="81"/>
      <c r="S47" s="81"/>
      <c r="T47" s="81"/>
      <c r="U47" s="81"/>
      <c r="V47" s="81"/>
      <c r="W47" s="81"/>
      <c r="X47" s="82" t="str">
        <f t="shared" si="3"/>
        <v/>
      </c>
      <c r="Y47" s="82" t="str">
        <f t="shared" si="4"/>
        <v/>
      </c>
      <c r="Z47" s="82" t="str">
        <f t="shared" si="5"/>
        <v/>
      </c>
      <c r="AA47" s="82" t="str">
        <f t="shared" si="6"/>
        <v/>
      </c>
      <c r="AB47" s="83">
        <f t="shared" si="7"/>
        <v>0</v>
      </c>
      <c r="AC47" s="83">
        <f t="shared" si="8"/>
        <v>0</v>
      </c>
      <c r="AD47" s="78"/>
      <c r="AE47" s="83">
        <f t="shared" si="9"/>
        <v>0</v>
      </c>
      <c r="AF47" s="78"/>
      <c r="AG47" s="78"/>
      <c r="AH47" s="78"/>
    </row>
    <row r="48" ht="15.75" customHeight="1">
      <c r="A48" s="78"/>
      <c r="B48" s="79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80" t="str">
        <f t="shared" si="1"/>
        <v/>
      </c>
      <c r="Q48" s="80" t="str">
        <f t="shared" si="2"/>
        <v/>
      </c>
      <c r="R48" s="81"/>
      <c r="S48" s="81"/>
      <c r="T48" s="81"/>
      <c r="U48" s="81"/>
      <c r="V48" s="81"/>
      <c r="W48" s="81"/>
      <c r="X48" s="82" t="str">
        <f t="shared" si="3"/>
        <v/>
      </c>
      <c r="Y48" s="82" t="str">
        <f t="shared" si="4"/>
        <v/>
      </c>
      <c r="Z48" s="82" t="str">
        <f t="shared" si="5"/>
        <v/>
      </c>
      <c r="AA48" s="82" t="str">
        <f t="shared" si="6"/>
        <v/>
      </c>
      <c r="AB48" s="83">
        <f t="shared" si="7"/>
        <v>0</v>
      </c>
      <c r="AC48" s="83">
        <f t="shared" si="8"/>
        <v>0</v>
      </c>
      <c r="AD48" s="78"/>
      <c r="AE48" s="83">
        <f t="shared" si="9"/>
        <v>0</v>
      </c>
      <c r="AF48" s="78"/>
      <c r="AG48" s="78"/>
      <c r="AH48" s="78"/>
    </row>
    <row r="49" ht="15.75" customHeight="1">
      <c r="A49" s="78"/>
      <c r="B49" s="79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80" t="str">
        <f t="shared" si="1"/>
        <v/>
      </c>
      <c r="Q49" s="80" t="str">
        <f t="shared" si="2"/>
        <v/>
      </c>
      <c r="R49" s="81"/>
      <c r="S49" s="81"/>
      <c r="T49" s="81"/>
      <c r="U49" s="81"/>
      <c r="V49" s="81"/>
      <c r="W49" s="81"/>
      <c r="X49" s="82" t="str">
        <f t="shared" si="3"/>
        <v/>
      </c>
      <c r="Y49" s="82" t="str">
        <f t="shared" si="4"/>
        <v/>
      </c>
      <c r="Z49" s="82" t="str">
        <f t="shared" si="5"/>
        <v/>
      </c>
      <c r="AA49" s="82" t="str">
        <f t="shared" si="6"/>
        <v/>
      </c>
      <c r="AB49" s="83">
        <f t="shared" si="7"/>
        <v>0</v>
      </c>
      <c r="AC49" s="83">
        <f t="shared" si="8"/>
        <v>0</v>
      </c>
      <c r="AD49" s="78"/>
      <c r="AE49" s="83">
        <f t="shared" si="9"/>
        <v>0</v>
      </c>
      <c r="AF49" s="78"/>
      <c r="AG49" s="78"/>
      <c r="AH49" s="78"/>
    </row>
    <row r="50" ht="15.75" customHeight="1">
      <c r="A50" s="78"/>
      <c r="B50" s="79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80" t="str">
        <f t="shared" si="1"/>
        <v/>
      </c>
      <c r="Q50" s="80" t="str">
        <f t="shared" si="2"/>
        <v/>
      </c>
      <c r="R50" s="81"/>
      <c r="S50" s="81"/>
      <c r="T50" s="81"/>
      <c r="U50" s="81"/>
      <c r="V50" s="81"/>
      <c r="W50" s="81"/>
      <c r="X50" s="82" t="str">
        <f t="shared" si="3"/>
        <v/>
      </c>
      <c r="Y50" s="82" t="str">
        <f t="shared" si="4"/>
        <v/>
      </c>
      <c r="Z50" s="82" t="str">
        <f t="shared" si="5"/>
        <v/>
      </c>
      <c r="AA50" s="82" t="str">
        <f t="shared" si="6"/>
        <v/>
      </c>
      <c r="AB50" s="83">
        <f t="shared" si="7"/>
        <v>0</v>
      </c>
      <c r="AC50" s="83">
        <f t="shared" si="8"/>
        <v>0</v>
      </c>
      <c r="AD50" s="78"/>
      <c r="AE50" s="83">
        <f t="shared" si="9"/>
        <v>0</v>
      </c>
      <c r="AF50" s="78"/>
      <c r="AG50" s="78"/>
      <c r="AH50" s="78"/>
    </row>
    <row r="51" ht="15.75" customHeight="1">
      <c r="A51" s="78"/>
      <c r="B51" s="79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80" t="str">
        <f t="shared" si="1"/>
        <v/>
      </c>
      <c r="Q51" s="80" t="str">
        <f t="shared" si="2"/>
        <v/>
      </c>
      <c r="R51" s="81"/>
      <c r="S51" s="81"/>
      <c r="T51" s="81"/>
      <c r="U51" s="81"/>
      <c r="V51" s="81"/>
      <c r="W51" s="81"/>
      <c r="X51" s="82" t="str">
        <f t="shared" si="3"/>
        <v/>
      </c>
      <c r="Y51" s="82" t="str">
        <f t="shared" si="4"/>
        <v/>
      </c>
      <c r="Z51" s="82" t="str">
        <f t="shared" si="5"/>
        <v/>
      </c>
      <c r="AA51" s="82" t="str">
        <f t="shared" si="6"/>
        <v/>
      </c>
      <c r="AB51" s="83">
        <f t="shared" si="7"/>
        <v>0</v>
      </c>
      <c r="AC51" s="83">
        <f t="shared" si="8"/>
        <v>0</v>
      </c>
      <c r="AD51" s="78"/>
      <c r="AE51" s="83">
        <f t="shared" si="9"/>
        <v>0</v>
      </c>
      <c r="AF51" s="78"/>
      <c r="AG51" s="78"/>
      <c r="AH51" s="78"/>
    </row>
    <row r="52" ht="15.75" customHeight="1">
      <c r="A52" s="78"/>
      <c r="B52" s="79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80" t="str">
        <f t="shared" si="1"/>
        <v/>
      </c>
      <c r="Q52" s="80" t="str">
        <f t="shared" si="2"/>
        <v/>
      </c>
      <c r="R52" s="81"/>
      <c r="S52" s="81"/>
      <c r="T52" s="81"/>
      <c r="U52" s="81"/>
      <c r="V52" s="81"/>
      <c r="W52" s="81"/>
      <c r="X52" s="82" t="str">
        <f t="shared" si="3"/>
        <v/>
      </c>
      <c r="Y52" s="82" t="str">
        <f t="shared" si="4"/>
        <v/>
      </c>
      <c r="Z52" s="82" t="str">
        <f t="shared" si="5"/>
        <v/>
      </c>
      <c r="AA52" s="82" t="str">
        <f t="shared" si="6"/>
        <v/>
      </c>
      <c r="AB52" s="83">
        <f t="shared" si="7"/>
        <v>0</v>
      </c>
      <c r="AC52" s="83">
        <f t="shared" si="8"/>
        <v>0</v>
      </c>
      <c r="AD52" s="78"/>
      <c r="AE52" s="83">
        <f t="shared" si="9"/>
        <v>0</v>
      </c>
      <c r="AF52" s="78"/>
      <c r="AG52" s="78"/>
      <c r="AH52" s="78"/>
    </row>
    <row r="53" ht="15.75" customHeight="1">
      <c r="A53" s="78"/>
      <c r="B53" s="79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80" t="str">
        <f t="shared" si="1"/>
        <v/>
      </c>
      <c r="Q53" s="80" t="str">
        <f t="shared" si="2"/>
        <v/>
      </c>
      <c r="R53" s="81"/>
      <c r="S53" s="81"/>
      <c r="T53" s="81"/>
      <c r="U53" s="81"/>
      <c r="V53" s="81"/>
      <c r="W53" s="81"/>
      <c r="X53" s="82" t="str">
        <f t="shared" si="3"/>
        <v/>
      </c>
      <c r="Y53" s="82" t="str">
        <f t="shared" si="4"/>
        <v/>
      </c>
      <c r="Z53" s="82" t="str">
        <f t="shared" si="5"/>
        <v/>
      </c>
      <c r="AA53" s="82" t="str">
        <f t="shared" si="6"/>
        <v/>
      </c>
      <c r="AB53" s="83">
        <f t="shared" si="7"/>
        <v>0</v>
      </c>
      <c r="AC53" s="83">
        <f t="shared" si="8"/>
        <v>0</v>
      </c>
      <c r="AD53" s="78"/>
      <c r="AE53" s="83">
        <f t="shared" si="9"/>
        <v>0</v>
      </c>
      <c r="AF53" s="78"/>
      <c r="AG53" s="78"/>
      <c r="AH53" s="78"/>
    </row>
    <row r="54" ht="15.75" customHeight="1">
      <c r="A54" s="78"/>
      <c r="B54" s="79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80" t="str">
        <f t="shared" si="1"/>
        <v/>
      </c>
      <c r="Q54" s="80" t="str">
        <f t="shared" si="2"/>
        <v/>
      </c>
      <c r="R54" s="81"/>
      <c r="S54" s="81"/>
      <c r="T54" s="81"/>
      <c r="U54" s="81"/>
      <c r="V54" s="81"/>
      <c r="W54" s="81"/>
      <c r="X54" s="82" t="str">
        <f t="shared" si="3"/>
        <v/>
      </c>
      <c r="Y54" s="82" t="str">
        <f t="shared" si="4"/>
        <v/>
      </c>
      <c r="Z54" s="82" t="str">
        <f t="shared" si="5"/>
        <v/>
      </c>
      <c r="AA54" s="82" t="str">
        <f t="shared" si="6"/>
        <v/>
      </c>
      <c r="AB54" s="83">
        <f t="shared" si="7"/>
        <v>0</v>
      </c>
      <c r="AC54" s="83">
        <f t="shared" si="8"/>
        <v>0</v>
      </c>
      <c r="AD54" s="78"/>
      <c r="AE54" s="83">
        <f t="shared" si="9"/>
        <v>0</v>
      </c>
      <c r="AF54" s="78"/>
      <c r="AG54" s="78"/>
      <c r="AH54" s="78"/>
    </row>
    <row r="55" ht="15.75" customHeight="1">
      <c r="A55" s="78"/>
      <c r="B55" s="79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80" t="str">
        <f t="shared" si="1"/>
        <v/>
      </c>
      <c r="Q55" s="80" t="str">
        <f t="shared" si="2"/>
        <v/>
      </c>
      <c r="R55" s="81"/>
      <c r="S55" s="81"/>
      <c r="T55" s="81"/>
      <c r="U55" s="81"/>
      <c r="V55" s="81"/>
      <c r="W55" s="81"/>
      <c r="X55" s="82" t="str">
        <f t="shared" si="3"/>
        <v/>
      </c>
      <c r="Y55" s="82" t="str">
        <f t="shared" si="4"/>
        <v/>
      </c>
      <c r="Z55" s="82" t="str">
        <f t="shared" si="5"/>
        <v/>
      </c>
      <c r="AA55" s="82" t="str">
        <f t="shared" si="6"/>
        <v/>
      </c>
      <c r="AB55" s="83">
        <f t="shared" si="7"/>
        <v>0</v>
      </c>
      <c r="AC55" s="83">
        <f t="shared" si="8"/>
        <v>0</v>
      </c>
      <c r="AD55" s="78"/>
      <c r="AE55" s="83">
        <f t="shared" si="9"/>
        <v>0</v>
      </c>
      <c r="AF55" s="78"/>
      <c r="AG55" s="78"/>
      <c r="AH55" s="78"/>
    </row>
    <row r="56" ht="15.75" customHeight="1">
      <c r="A56" s="78"/>
      <c r="B56" s="79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80" t="str">
        <f t="shared" si="1"/>
        <v/>
      </c>
      <c r="Q56" s="80" t="str">
        <f t="shared" si="2"/>
        <v/>
      </c>
      <c r="R56" s="81"/>
      <c r="S56" s="81"/>
      <c r="T56" s="81"/>
      <c r="U56" s="81"/>
      <c r="V56" s="81"/>
      <c r="W56" s="81"/>
      <c r="X56" s="82" t="str">
        <f t="shared" si="3"/>
        <v/>
      </c>
      <c r="Y56" s="82" t="str">
        <f t="shared" si="4"/>
        <v/>
      </c>
      <c r="Z56" s="82" t="str">
        <f t="shared" si="5"/>
        <v/>
      </c>
      <c r="AA56" s="82" t="str">
        <f t="shared" si="6"/>
        <v/>
      </c>
      <c r="AB56" s="83">
        <f t="shared" si="7"/>
        <v>0</v>
      </c>
      <c r="AC56" s="83">
        <f t="shared" si="8"/>
        <v>0</v>
      </c>
      <c r="AD56" s="78"/>
      <c r="AE56" s="83">
        <f t="shared" si="9"/>
        <v>0</v>
      </c>
      <c r="AF56" s="78"/>
      <c r="AG56" s="78"/>
      <c r="AH56" s="78"/>
    </row>
    <row r="57" ht="15.75" customHeight="1">
      <c r="A57" s="78"/>
      <c r="B57" s="79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80" t="str">
        <f t="shared" si="1"/>
        <v/>
      </c>
      <c r="Q57" s="80" t="str">
        <f t="shared" si="2"/>
        <v/>
      </c>
      <c r="R57" s="81"/>
      <c r="S57" s="81"/>
      <c r="T57" s="81"/>
      <c r="U57" s="81"/>
      <c r="V57" s="81"/>
      <c r="W57" s="81"/>
      <c r="X57" s="82" t="str">
        <f t="shared" si="3"/>
        <v/>
      </c>
      <c r="Y57" s="82" t="str">
        <f t="shared" si="4"/>
        <v/>
      </c>
      <c r="Z57" s="82" t="str">
        <f t="shared" si="5"/>
        <v/>
      </c>
      <c r="AA57" s="82" t="str">
        <f t="shared" si="6"/>
        <v/>
      </c>
      <c r="AB57" s="83">
        <f t="shared" si="7"/>
        <v>0</v>
      </c>
      <c r="AC57" s="83">
        <f t="shared" si="8"/>
        <v>0</v>
      </c>
      <c r="AD57" s="78"/>
      <c r="AE57" s="83">
        <f t="shared" si="9"/>
        <v>0</v>
      </c>
      <c r="AF57" s="78"/>
      <c r="AG57" s="78"/>
      <c r="AH57" s="78"/>
    </row>
    <row r="58" ht="15.75" customHeight="1">
      <c r="A58" s="78"/>
      <c r="B58" s="79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80" t="str">
        <f t="shared" si="1"/>
        <v/>
      </c>
      <c r="Q58" s="80" t="str">
        <f t="shared" si="2"/>
        <v/>
      </c>
      <c r="R58" s="81"/>
      <c r="S58" s="81"/>
      <c r="T58" s="81"/>
      <c r="U58" s="81"/>
      <c r="V58" s="81"/>
      <c r="W58" s="81"/>
      <c r="X58" s="82" t="str">
        <f t="shared" si="3"/>
        <v/>
      </c>
      <c r="Y58" s="82" t="str">
        <f t="shared" si="4"/>
        <v/>
      </c>
      <c r="Z58" s="82" t="str">
        <f t="shared" si="5"/>
        <v/>
      </c>
      <c r="AA58" s="82" t="str">
        <f t="shared" si="6"/>
        <v/>
      </c>
      <c r="AB58" s="83">
        <f t="shared" si="7"/>
        <v>0</v>
      </c>
      <c r="AC58" s="83">
        <f t="shared" si="8"/>
        <v>0</v>
      </c>
      <c r="AD58" s="78"/>
      <c r="AE58" s="83">
        <f t="shared" si="9"/>
        <v>0</v>
      </c>
      <c r="AF58" s="78"/>
      <c r="AG58" s="78"/>
      <c r="AH58" s="78"/>
    </row>
    <row r="59" ht="15.75" customHeight="1">
      <c r="A59" s="78"/>
      <c r="B59" s="79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80" t="str">
        <f t="shared" si="1"/>
        <v/>
      </c>
      <c r="Q59" s="80" t="str">
        <f t="shared" si="2"/>
        <v/>
      </c>
      <c r="R59" s="81"/>
      <c r="S59" s="81"/>
      <c r="T59" s="81"/>
      <c r="U59" s="81"/>
      <c r="V59" s="81"/>
      <c r="W59" s="81"/>
      <c r="X59" s="82" t="str">
        <f t="shared" si="3"/>
        <v/>
      </c>
      <c r="Y59" s="82" t="str">
        <f t="shared" si="4"/>
        <v/>
      </c>
      <c r="Z59" s="82" t="str">
        <f t="shared" si="5"/>
        <v/>
      </c>
      <c r="AA59" s="82" t="str">
        <f t="shared" si="6"/>
        <v/>
      </c>
      <c r="AB59" s="83">
        <f t="shared" si="7"/>
        <v>0</v>
      </c>
      <c r="AC59" s="83">
        <f t="shared" si="8"/>
        <v>0</v>
      </c>
      <c r="AD59" s="78"/>
      <c r="AE59" s="83">
        <f t="shared" si="9"/>
        <v>0</v>
      </c>
      <c r="AF59" s="78"/>
      <c r="AG59" s="78"/>
      <c r="AH59" s="78"/>
    </row>
    <row r="60" ht="15.75" customHeight="1">
      <c r="A60" s="78"/>
      <c r="B60" s="79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80" t="str">
        <f t="shared" si="1"/>
        <v/>
      </c>
      <c r="Q60" s="80" t="str">
        <f t="shared" si="2"/>
        <v/>
      </c>
      <c r="R60" s="81"/>
      <c r="S60" s="81"/>
      <c r="T60" s="81"/>
      <c r="U60" s="81"/>
      <c r="V60" s="81"/>
      <c r="W60" s="81"/>
      <c r="X60" s="82" t="str">
        <f t="shared" si="3"/>
        <v/>
      </c>
      <c r="Y60" s="82" t="str">
        <f t="shared" si="4"/>
        <v/>
      </c>
      <c r="Z60" s="82" t="str">
        <f t="shared" si="5"/>
        <v/>
      </c>
      <c r="AA60" s="82" t="str">
        <f t="shared" si="6"/>
        <v/>
      </c>
      <c r="AB60" s="83">
        <f t="shared" si="7"/>
        <v>0</v>
      </c>
      <c r="AC60" s="83">
        <f t="shared" si="8"/>
        <v>0</v>
      </c>
      <c r="AD60" s="78"/>
      <c r="AE60" s="83">
        <f t="shared" si="9"/>
        <v>0</v>
      </c>
      <c r="AF60" s="78"/>
      <c r="AG60" s="78"/>
      <c r="AH60" s="78"/>
    </row>
    <row r="61" ht="15.75" customHeight="1">
      <c r="A61" s="78"/>
      <c r="B61" s="79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80" t="str">
        <f t="shared" si="1"/>
        <v/>
      </c>
      <c r="Q61" s="80" t="str">
        <f t="shared" si="2"/>
        <v/>
      </c>
      <c r="R61" s="81"/>
      <c r="S61" s="81"/>
      <c r="T61" s="81"/>
      <c r="U61" s="81"/>
      <c r="V61" s="81"/>
      <c r="W61" s="81"/>
      <c r="X61" s="82" t="str">
        <f t="shared" si="3"/>
        <v/>
      </c>
      <c r="Y61" s="82" t="str">
        <f t="shared" si="4"/>
        <v/>
      </c>
      <c r="Z61" s="82" t="str">
        <f t="shared" si="5"/>
        <v/>
      </c>
      <c r="AA61" s="82" t="str">
        <f t="shared" si="6"/>
        <v/>
      </c>
      <c r="AB61" s="83">
        <f t="shared" si="7"/>
        <v>0</v>
      </c>
      <c r="AC61" s="83">
        <f t="shared" si="8"/>
        <v>0</v>
      </c>
      <c r="AD61" s="78"/>
      <c r="AE61" s="83">
        <f t="shared" si="9"/>
        <v>0</v>
      </c>
      <c r="AF61" s="78"/>
      <c r="AG61" s="78"/>
      <c r="AH61" s="78"/>
    </row>
    <row r="62" ht="15.75" customHeight="1">
      <c r="A62" s="78"/>
      <c r="B62" s="79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80" t="str">
        <f t="shared" si="1"/>
        <v/>
      </c>
      <c r="Q62" s="80" t="str">
        <f t="shared" si="2"/>
        <v/>
      </c>
      <c r="R62" s="81"/>
      <c r="S62" s="81"/>
      <c r="T62" s="81"/>
      <c r="U62" s="81"/>
      <c r="V62" s="81"/>
      <c r="W62" s="81"/>
      <c r="X62" s="82" t="str">
        <f t="shared" si="3"/>
        <v/>
      </c>
      <c r="Y62" s="82" t="str">
        <f t="shared" si="4"/>
        <v/>
      </c>
      <c r="Z62" s="82" t="str">
        <f t="shared" si="5"/>
        <v/>
      </c>
      <c r="AA62" s="82" t="str">
        <f t="shared" si="6"/>
        <v/>
      </c>
      <c r="AB62" s="83">
        <f t="shared" si="7"/>
        <v>0</v>
      </c>
      <c r="AC62" s="83">
        <f t="shared" si="8"/>
        <v>0</v>
      </c>
      <c r="AD62" s="78"/>
      <c r="AE62" s="83">
        <f t="shared" si="9"/>
        <v>0</v>
      </c>
      <c r="AF62" s="78"/>
      <c r="AG62" s="78"/>
      <c r="AH62" s="78"/>
    </row>
    <row r="63" ht="15.75" customHeight="1">
      <c r="A63" s="78"/>
      <c r="B63" s="79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80" t="str">
        <f t="shared" si="1"/>
        <v/>
      </c>
      <c r="Q63" s="80" t="str">
        <f t="shared" si="2"/>
        <v/>
      </c>
      <c r="R63" s="81"/>
      <c r="S63" s="81"/>
      <c r="T63" s="81"/>
      <c r="U63" s="81"/>
      <c r="V63" s="81"/>
      <c r="W63" s="81"/>
      <c r="X63" s="82" t="str">
        <f t="shared" si="3"/>
        <v/>
      </c>
      <c r="Y63" s="82" t="str">
        <f t="shared" si="4"/>
        <v/>
      </c>
      <c r="Z63" s="82" t="str">
        <f t="shared" si="5"/>
        <v/>
      </c>
      <c r="AA63" s="82" t="str">
        <f t="shared" si="6"/>
        <v/>
      </c>
      <c r="AB63" s="83">
        <f t="shared" si="7"/>
        <v>0</v>
      </c>
      <c r="AC63" s="83">
        <f t="shared" si="8"/>
        <v>0</v>
      </c>
      <c r="AD63" s="78"/>
      <c r="AE63" s="83">
        <f t="shared" si="9"/>
        <v>0</v>
      </c>
      <c r="AF63" s="78"/>
      <c r="AG63" s="78"/>
      <c r="AH63" s="78"/>
    </row>
    <row r="64" ht="15.75" customHeight="1">
      <c r="A64" s="78"/>
      <c r="B64" s="79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80" t="str">
        <f t="shared" si="1"/>
        <v/>
      </c>
      <c r="Q64" s="80" t="str">
        <f t="shared" si="2"/>
        <v/>
      </c>
      <c r="R64" s="81"/>
      <c r="S64" s="81"/>
      <c r="T64" s="81"/>
      <c r="U64" s="81"/>
      <c r="V64" s="81"/>
      <c r="W64" s="81"/>
      <c r="X64" s="82" t="str">
        <f t="shared" si="3"/>
        <v/>
      </c>
      <c r="Y64" s="82" t="str">
        <f t="shared" si="4"/>
        <v/>
      </c>
      <c r="Z64" s="82" t="str">
        <f t="shared" si="5"/>
        <v/>
      </c>
      <c r="AA64" s="82" t="str">
        <f t="shared" si="6"/>
        <v/>
      </c>
      <c r="AB64" s="83">
        <f t="shared" si="7"/>
        <v>0</v>
      </c>
      <c r="AC64" s="83">
        <f t="shared" si="8"/>
        <v>0</v>
      </c>
      <c r="AD64" s="78"/>
      <c r="AE64" s="83">
        <f t="shared" si="9"/>
        <v>0</v>
      </c>
      <c r="AF64" s="78"/>
      <c r="AG64" s="78"/>
      <c r="AH64" s="78"/>
    </row>
    <row r="65" ht="15.75" customHeight="1">
      <c r="A65" s="78"/>
      <c r="B65" s="79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80" t="str">
        <f t="shared" si="1"/>
        <v/>
      </c>
      <c r="Q65" s="80" t="str">
        <f t="shared" si="2"/>
        <v/>
      </c>
      <c r="R65" s="81"/>
      <c r="S65" s="81"/>
      <c r="T65" s="81"/>
      <c r="U65" s="81"/>
      <c r="V65" s="81"/>
      <c r="W65" s="81"/>
      <c r="X65" s="82" t="str">
        <f t="shared" si="3"/>
        <v/>
      </c>
      <c r="Y65" s="82" t="str">
        <f t="shared" si="4"/>
        <v/>
      </c>
      <c r="Z65" s="82" t="str">
        <f t="shared" si="5"/>
        <v/>
      </c>
      <c r="AA65" s="82" t="str">
        <f t="shared" si="6"/>
        <v/>
      </c>
      <c r="AB65" s="83">
        <f t="shared" si="7"/>
        <v>0</v>
      </c>
      <c r="AC65" s="83">
        <f t="shared" si="8"/>
        <v>0</v>
      </c>
      <c r="AD65" s="78"/>
      <c r="AE65" s="83">
        <f t="shared" si="9"/>
        <v>0</v>
      </c>
      <c r="AF65" s="78"/>
      <c r="AG65" s="78"/>
      <c r="AH65" s="78"/>
    </row>
    <row r="66" ht="15.75" customHeight="1">
      <c r="A66" s="78"/>
      <c r="B66" s="79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80" t="str">
        <f t="shared" si="1"/>
        <v/>
      </c>
      <c r="Q66" s="80" t="str">
        <f t="shared" si="2"/>
        <v/>
      </c>
      <c r="R66" s="81"/>
      <c r="S66" s="81"/>
      <c r="T66" s="81"/>
      <c r="U66" s="81"/>
      <c r="V66" s="81"/>
      <c r="W66" s="81"/>
      <c r="X66" s="82" t="str">
        <f t="shared" si="3"/>
        <v/>
      </c>
      <c r="Y66" s="82" t="str">
        <f t="shared" si="4"/>
        <v/>
      </c>
      <c r="Z66" s="82" t="str">
        <f t="shared" si="5"/>
        <v/>
      </c>
      <c r="AA66" s="82" t="str">
        <f t="shared" si="6"/>
        <v/>
      </c>
      <c r="AB66" s="83">
        <f t="shared" si="7"/>
        <v>0</v>
      </c>
      <c r="AC66" s="83">
        <f t="shared" si="8"/>
        <v>0</v>
      </c>
      <c r="AD66" s="78"/>
      <c r="AE66" s="83">
        <f t="shared" si="9"/>
        <v>0</v>
      </c>
      <c r="AF66" s="78"/>
      <c r="AG66" s="78"/>
      <c r="AH66" s="78"/>
    </row>
    <row r="67" ht="15.75" customHeight="1">
      <c r="A67" s="78"/>
      <c r="B67" s="79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80" t="str">
        <f t="shared" si="1"/>
        <v/>
      </c>
      <c r="Q67" s="80" t="str">
        <f t="shared" si="2"/>
        <v/>
      </c>
      <c r="R67" s="81"/>
      <c r="S67" s="81"/>
      <c r="T67" s="81"/>
      <c r="U67" s="81"/>
      <c r="V67" s="81"/>
      <c r="W67" s="81"/>
      <c r="X67" s="82" t="str">
        <f t="shared" si="3"/>
        <v/>
      </c>
      <c r="Y67" s="82" t="str">
        <f t="shared" si="4"/>
        <v/>
      </c>
      <c r="Z67" s="82" t="str">
        <f t="shared" si="5"/>
        <v/>
      </c>
      <c r="AA67" s="82" t="str">
        <f t="shared" si="6"/>
        <v/>
      </c>
      <c r="AB67" s="83">
        <f t="shared" si="7"/>
        <v>0</v>
      </c>
      <c r="AC67" s="83">
        <f t="shared" si="8"/>
        <v>0</v>
      </c>
      <c r="AD67" s="78"/>
      <c r="AE67" s="83">
        <f t="shared" si="9"/>
        <v>0</v>
      </c>
      <c r="AF67" s="78"/>
      <c r="AG67" s="78"/>
      <c r="AH67" s="78"/>
    </row>
    <row r="68" ht="15.75" customHeight="1">
      <c r="A68" s="78"/>
      <c r="B68" s="79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80" t="str">
        <f t="shared" si="1"/>
        <v/>
      </c>
      <c r="Q68" s="80" t="str">
        <f t="shared" si="2"/>
        <v/>
      </c>
      <c r="R68" s="81"/>
      <c r="S68" s="81"/>
      <c r="T68" s="81"/>
      <c r="U68" s="81"/>
      <c r="V68" s="81"/>
      <c r="W68" s="81"/>
      <c r="X68" s="82" t="str">
        <f t="shared" si="3"/>
        <v/>
      </c>
      <c r="Y68" s="82" t="str">
        <f t="shared" si="4"/>
        <v/>
      </c>
      <c r="Z68" s="82" t="str">
        <f t="shared" si="5"/>
        <v/>
      </c>
      <c r="AA68" s="82" t="str">
        <f t="shared" si="6"/>
        <v/>
      </c>
      <c r="AB68" s="83">
        <f t="shared" si="7"/>
        <v>0</v>
      </c>
      <c r="AC68" s="83">
        <f t="shared" si="8"/>
        <v>0</v>
      </c>
      <c r="AD68" s="78"/>
      <c r="AE68" s="83">
        <f t="shared" si="9"/>
        <v>0</v>
      </c>
      <c r="AF68" s="78"/>
      <c r="AG68" s="78"/>
      <c r="AH68" s="78"/>
    </row>
    <row r="69" ht="15.75" customHeight="1">
      <c r="A69" s="78"/>
      <c r="B69" s="79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80" t="str">
        <f t="shared" si="1"/>
        <v/>
      </c>
      <c r="Q69" s="80" t="str">
        <f t="shared" si="2"/>
        <v/>
      </c>
      <c r="R69" s="81"/>
      <c r="S69" s="81"/>
      <c r="T69" s="81"/>
      <c r="U69" s="81"/>
      <c r="V69" s="81"/>
      <c r="W69" s="81"/>
      <c r="X69" s="82" t="str">
        <f t="shared" si="3"/>
        <v/>
      </c>
      <c r="Y69" s="82" t="str">
        <f t="shared" si="4"/>
        <v/>
      </c>
      <c r="Z69" s="82" t="str">
        <f t="shared" si="5"/>
        <v/>
      </c>
      <c r="AA69" s="82" t="str">
        <f t="shared" si="6"/>
        <v/>
      </c>
      <c r="AB69" s="83">
        <f t="shared" si="7"/>
        <v>0</v>
      </c>
      <c r="AC69" s="83">
        <f t="shared" si="8"/>
        <v>0</v>
      </c>
      <c r="AD69" s="78"/>
      <c r="AE69" s="83">
        <f t="shared" si="9"/>
        <v>0</v>
      </c>
      <c r="AF69" s="78"/>
      <c r="AG69" s="78"/>
      <c r="AH69" s="78"/>
    </row>
    <row r="70" ht="15.75" customHeight="1">
      <c r="A70" s="78"/>
      <c r="B70" s="79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80" t="str">
        <f t="shared" si="1"/>
        <v/>
      </c>
      <c r="Q70" s="80" t="str">
        <f t="shared" si="2"/>
        <v/>
      </c>
      <c r="R70" s="81"/>
      <c r="S70" s="81"/>
      <c r="T70" s="81"/>
      <c r="U70" s="81"/>
      <c r="V70" s="81"/>
      <c r="W70" s="81"/>
      <c r="X70" s="82" t="str">
        <f t="shared" si="3"/>
        <v/>
      </c>
      <c r="Y70" s="82" t="str">
        <f t="shared" si="4"/>
        <v/>
      </c>
      <c r="Z70" s="82" t="str">
        <f t="shared" si="5"/>
        <v/>
      </c>
      <c r="AA70" s="82" t="str">
        <f t="shared" si="6"/>
        <v/>
      </c>
      <c r="AB70" s="83">
        <f t="shared" si="7"/>
        <v>0</v>
      </c>
      <c r="AC70" s="83">
        <f t="shared" si="8"/>
        <v>0</v>
      </c>
      <c r="AD70" s="78"/>
      <c r="AE70" s="83">
        <f t="shared" si="9"/>
        <v>0</v>
      </c>
      <c r="AF70" s="78"/>
      <c r="AG70" s="78"/>
      <c r="AH70" s="78"/>
    </row>
    <row r="71" ht="15.75" customHeight="1">
      <c r="A71" s="78"/>
      <c r="B71" s="79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80" t="str">
        <f t="shared" si="1"/>
        <v/>
      </c>
      <c r="Q71" s="80" t="str">
        <f t="shared" si="2"/>
        <v/>
      </c>
      <c r="R71" s="81"/>
      <c r="S71" s="81"/>
      <c r="T71" s="81"/>
      <c r="U71" s="81"/>
      <c r="V71" s="81"/>
      <c r="W71" s="81"/>
      <c r="X71" s="82" t="str">
        <f t="shared" si="3"/>
        <v/>
      </c>
      <c r="Y71" s="82" t="str">
        <f t="shared" si="4"/>
        <v/>
      </c>
      <c r="Z71" s="82" t="str">
        <f t="shared" si="5"/>
        <v/>
      </c>
      <c r="AA71" s="82" t="str">
        <f t="shared" si="6"/>
        <v/>
      </c>
      <c r="AB71" s="83">
        <f t="shared" si="7"/>
        <v>0</v>
      </c>
      <c r="AC71" s="83">
        <f t="shared" si="8"/>
        <v>0</v>
      </c>
      <c r="AD71" s="78"/>
      <c r="AE71" s="83">
        <f t="shared" si="9"/>
        <v>0</v>
      </c>
      <c r="AF71" s="78"/>
      <c r="AG71" s="78"/>
      <c r="AH71" s="78"/>
    </row>
    <row r="72" ht="15.75" customHeight="1">
      <c r="A72" s="78"/>
      <c r="B72" s="79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80" t="str">
        <f t="shared" si="1"/>
        <v/>
      </c>
      <c r="Q72" s="80" t="str">
        <f t="shared" si="2"/>
        <v/>
      </c>
      <c r="R72" s="81"/>
      <c r="S72" s="81"/>
      <c r="T72" s="81"/>
      <c r="U72" s="81"/>
      <c r="V72" s="81"/>
      <c r="W72" s="81"/>
      <c r="X72" s="82" t="str">
        <f t="shared" si="3"/>
        <v/>
      </c>
      <c r="Y72" s="82" t="str">
        <f t="shared" si="4"/>
        <v/>
      </c>
      <c r="Z72" s="82" t="str">
        <f t="shared" si="5"/>
        <v/>
      </c>
      <c r="AA72" s="82" t="str">
        <f t="shared" si="6"/>
        <v/>
      </c>
      <c r="AB72" s="83">
        <f t="shared" si="7"/>
        <v>0</v>
      </c>
      <c r="AC72" s="83">
        <f t="shared" si="8"/>
        <v>0</v>
      </c>
      <c r="AD72" s="78"/>
      <c r="AE72" s="83">
        <f t="shared" si="9"/>
        <v>0</v>
      </c>
      <c r="AF72" s="78"/>
      <c r="AG72" s="78"/>
      <c r="AH72" s="78"/>
    </row>
    <row r="73" ht="15.75" customHeight="1">
      <c r="A73" s="78"/>
      <c r="B73" s="79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80" t="str">
        <f t="shared" si="1"/>
        <v/>
      </c>
      <c r="Q73" s="80" t="str">
        <f t="shared" si="2"/>
        <v/>
      </c>
      <c r="R73" s="81"/>
      <c r="S73" s="81"/>
      <c r="T73" s="81"/>
      <c r="U73" s="81"/>
      <c r="V73" s="81"/>
      <c r="W73" s="81"/>
      <c r="X73" s="82" t="str">
        <f t="shared" si="3"/>
        <v/>
      </c>
      <c r="Y73" s="82" t="str">
        <f t="shared" si="4"/>
        <v/>
      </c>
      <c r="Z73" s="82" t="str">
        <f t="shared" si="5"/>
        <v/>
      </c>
      <c r="AA73" s="82" t="str">
        <f t="shared" si="6"/>
        <v/>
      </c>
      <c r="AB73" s="83">
        <f t="shared" si="7"/>
        <v>0</v>
      </c>
      <c r="AC73" s="83">
        <f t="shared" si="8"/>
        <v>0</v>
      </c>
      <c r="AD73" s="78"/>
      <c r="AE73" s="83">
        <f t="shared" si="9"/>
        <v>0</v>
      </c>
      <c r="AF73" s="78"/>
      <c r="AG73" s="78"/>
      <c r="AH73" s="78"/>
    </row>
    <row r="74" ht="15.75" customHeight="1">
      <c r="A74" s="78"/>
      <c r="B74" s="79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80" t="str">
        <f t="shared" si="1"/>
        <v/>
      </c>
      <c r="Q74" s="80" t="str">
        <f t="shared" si="2"/>
        <v/>
      </c>
      <c r="R74" s="81"/>
      <c r="S74" s="81"/>
      <c r="T74" s="81"/>
      <c r="U74" s="81"/>
      <c r="V74" s="81"/>
      <c r="W74" s="81"/>
      <c r="X74" s="82" t="str">
        <f t="shared" si="3"/>
        <v/>
      </c>
      <c r="Y74" s="82" t="str">
        <f t="shared" si="4"/>
        <v/>
      </c>
      <c r="Z74" s="82" t="str">
        <f t="shared" si="5"/>
        <v/>
      </c>
      <c r="AA74" s="82" t="str">
        <f t="shared" si="6"/>
        <v/>
      </c>
      <c r="AB74" s="83">
        <f t="shared" si="7"/>
        <v>0</v>
      </c>
      <c r="AC74" s="83">
        <f t="shared" si="8"/>
        <v>0</v>
      </c>
      <c r="AD74" s="78"/>
      <c r="AE74" s="83">
        <f t="shared" si="9"/>
        <v>0</v>
      </c>
      <c r="AF74" s="78"/>
      <c r="AG74" s="78"/>
      <c r="AH74" s="78"/>
    </row>
    <row r="75" ht="15.75" customHeight="1">
      <c r="A75" s="78"/>
      <c r="B75" s="79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80" t="str">
        <f t="shared" si="1"/>
        <v/>
      </c>
      <c r="Q75" s="80" t="str">
        <f t="shared" si="2"/>
        <v/>
      </c>
      <c r="R75" s="81"/>
      <c r="S75" s="81"/>
      <c r="T75" s="81"/>
      <c r="U75" s="81"/>
      <c r="V75" s="81"/>
      <c r="W75" s="81"/>
      <c r="X75" s="82" t="str">
        <f t="shared" si="3"/>
        <v/>
      </c>
      <c r="Y75" s="82" t="str">
        <f t="shared" si="4"/>
        <v/>
      </c>
      <c r="Z75" s="82" t="str">
        <f t="shared" si="5"/>
        <v/>
      </c>
      <c r="AA75" s="82" t="str">
        <f t="shared" si="6"/>
        <v/>
      </c>
      <c r="AB75" s="83">
        <f t="shared" si="7"/>
        <v>0</v>
      </c>
      <c r="AC75" s="83">
        <f t="shared" si="8"/>
        <v>0</v>
      </c>
      <c r="AD75" s="78"/>
      <c r="AE75" s="83">
        <f t="shared" si="9"/>
        <v>0</v>
      </c>
      <c r="AF75" s="78"/>
      <c r="AG75" s="78"/>
      <c r="AH75" s="78"/>
    </row>
    <row r="76" ht="15.75" customHeight="1">
      <c r="A76" s="78"/>
      <c r="B76" s="79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80" t="str">
        <f t="shared" si="1"/>
        <v/>
      </c>
      <c r="Q76" s="80" t="str">
        <f t="shared" si="2"/>
        <v/>
      </c>
      <c r="R76" s="81"/>
      <c r="S76" s="81"/>
      <c r="T76" s="81"/>
      <c r="U76" s="81"/>
      <c r="V76" s="81"/>
      <c r="W76" s="81"/>
      <c r="X76" s="82" t="str">
        <f t="shared" si="3"/>
        <v/>
      </c>
      <c r="Y76" s="82" t="str">
        <f t="shared" si="4"/>
        <v/>
      </c>
      <c r="Z76" s="82" t="str">
        <f t="shared" si="5"/>
        <v/>
      </c>
      <c r="AA76" s="82" t="str">
        <f t="shared" si="6"/>
        <v/>
      </c>
      <c r="AB76" s="83">
        <f t="shared" si="7"/>
        <v>0</v>
      </c>
      <c r="AC76" s="83">
        <f t="shared" si="8"/>
        <v>0</v>
      </c>
      <c r="AD76" s="78"/>
      <c r="AE76" s="83">
        <f t="shared" si="9"/>
        <v>0</v>
      </c>
      <c r="AF76" s="78"/>
      <c r="AG76" s="78"/>
      <c r="AH76" s="78"/>
    </row>
    <row r="77" ht="15.75" customHeight="1">
      <c r="A77" s="78"/>
      <c r="B77" s="79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80" t="str">
        <f t="shared" si="1"/>
        <v/>
      </c>
      <c r="Q77" s="80" t="str">
        <f t="shared" si="2"/>
        <v/>
      </c>
      <c r="R77" s="81"/>
      <c r="S77" s="81"/>
      <c r="T77" s="81"/>
      <c r="U77" s="81"/>
      <c r="V77" s="81"/>
      <c r="W77" s="81"/>
      <c r="X77" s="82" t="str">
        <f t="shared" si="3"/>
        <v/>
      </c>
      <c r="Y77" s="82" t="str">
        <f t="shared" si="4"/>
        <v/>
      </c>
      <c r="Z77" s="82" t="str">
        <f t="shared" si="5"/>
        <v/>
      </c>
      <c r="AA77" s="82" t="str">
        <f t="shared" si="6"/>
        <v/>
      </c>
      <c r="AB77" s="83">
        <f t="shared" si="7"/>
        <v>0</v>
      </c>
      <c r="AC77" s="83">
        <f t="shared" si="8"/>
        <v>0</v>
      </c>
      <c r="AD77" s="78"/>
      <c r="AE77" s="83">
        <f t="shared" si="9"/>
        <v>0</v>
      </c>
      <c r="AF77" s="78"/>
      <c r="AG77" s="78"/>
      <c r="AH77" s="78"/>
    </row>
    <row r="78" ht="15.75" customHeight="1">
      <c r="A78" s="78"/>
      <c r="B78" s="79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80" t="str">
        <f t="shared" si="1"/>
        <v/>
      </c>
      <c r="Q78" s="80" t="str">
        <f t="shared" si="2"/>
        <v/>
      </c>
      <c r="R78" s="81"/>
      <c r="S78" s="81"/>
      <c r="T78" s="81"/>
      <c r="U78" s="81"/>
      <c r="V78" s="81"/>
      <c r="W78" s="81"/>
      <c r="X78" s="82" t="str">
        <f t="shared" si="3"/>
        <v/>
      </c>
      <c r="Y78" s="82" t="str">
        <f t="shared" si="4"/>
        <v/>
      </c>
      <c r="Z78" s="82" t="str">
        <f t="shared" si="5"/>
        <v/>
      </c>
      <c r="AA78" s="82" t="str">
        <f t="shared" si="6"/>
        <v/>
      </c>
      <c r="AB78" s="83">
        <f t="shared" si="7"/>
        <v>0</v>
      </c>
      <c r="AC78" s="83">
        <f t="shared" si="8"/>
        <v>0</v>
      </c>
      <c r="AD78" s="78"/>
      <c r="AE78" s="83">
        <f t="shared" si="9"/>
        <v>0</v>
      </c>
      <c r="AF78" s="78"/>
      <c r="AG78" s="78"/>
      <c r="AH78" s="78"/>
    </row>
    <row r="79" ht="15.75" customHeight="1">
      <c r="A79" s="78"/>
      <c r="B79" s="79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80" t="str">
        <f t="shared" si="1"/>
        <v/>
      </c>
      <c r="Q79" s="80" t="str">
        <f t="shared" si="2"/>
        <v/>
      </c>
      <c r="R79" s="81"/>
      <c r="S79" s="81"/>
      <c r="T79" s="81"/>
      <c r="U79" s="81"/>
      <c r="V79" s="81"/>
      <c r="W79" s="81"/>
      <c r="X79" s="82" t="str">
        <f t="shared" si="3"/>
        <v/>
      </c>
      <c r="Y79" s="82" t="str">
        <f t="shared" si="4"/>
        <v/>
      </c>
      <c r="Z79" s="82" t="str">
        <f t="shared" si="5"/>
        <v/>
      </c>
      <c r="AA79" s="82" t="str">
        <f t="shared" si="6"/>
        <v/>
      </c>
      <c r="AB79" s="83">
        <f t="shared" si="7"/>
        <v>0</v>
      </c>
      <c r="AC79" s="83">
        <f t="shared" si="8"/>
        <v>0</v>
      </c>
      <c r="AD79" s="78"/>
      <c r="AE79" s="83">
        <f t="shared" si="9"/>
        <v>0</v>
      </c>
      <c r="AF79" s="78"/>
      <c r="AG79" s="78"/>
      <c r="AH79" s="78"/>
    </row>
    <row r="80" ht="15.75" customHeight="1">
      <c r="A80" s="78"/>
      <c r="B80" s="79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80" t="str">
        <f t="shared" si="1"/>
        <v/>
      </c>
      <c r="Q80" s="80" t="str">
        <f t="shared" si="2"/>
        <v/>
      </c>
      <c r="R80" s="81"/>
      <c r="S80" s="81"/>
      <c r="T80" s="81"/>
      <c r="U80" s="81"/>
      <c r="V80" s="81"/>
      <c r="W80" s="81"/>
      <c r="X80" s="82" t="str">
        <f t="shared" si="3"/>
        <v/>
      </c>
      <c r="Y80" s="82" t="str">
        <f t="shared" si="4"/>
        <v/>
      </c>
      <c r="Z80" s="82" t="str">
        <f t="shared" si="5"/>
        <v/>
      </c>
      <c r="AA80" s="82" t="str">
        <f t="shared" si="6"/>
        <v/>
      </c>
      <c r="AB80" s="83">
        <f t="shared" si="7"/>
        <v>0</v>
      </c>
      <c r="AC80" s="83">
        <f t="shared" si="8"/>
        <v>0</v>
      </c>
      <c r="AD80" s="78"/>
      <c r="AE80" s="83">
        <f t="shared" si="9"/>
        <v>0</v>
      </c>
      <c r="AF80" s="78"/>
      <c r="AG80" s="78"/>
      <c r="AH80" s="78"/>
    </row>
    <row r="81" ht="15.75" customHeight="1">
      <c r="A81" s="78"/>
      <c r="B81" s="79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80" t="str">
        <f t="shared" si="1"/>
        <v/>
      </c>
      <c r="Q81" s="80" t="str">
        <f t="shared" si="2"/>
        <v/>
      </c>
      <c r="R81" s="81"/>
      <c r="S81" s="81"/>
      <c r="T81" s="81"/>
      <c r="U81" s="81"/>
      <c r="V81" s="81"/>
      <c r="W81" s="81"/>
      <c r="X81" s="82" t="str">
        <f t="shared" si="3"/>
        <v/>
      </c>
      <c r="Y81" s="82" t="str">
        <f t="shared" si="4"/>
        <v/>
      </c>
      <c r="Z81" s="82" t="str">
        <f t="shared" si="5"/>
        <v/>
      </c>
      <c r="AA81" s="82" t="str">
        <f t="shared" si="6"/>
        <v/>
      </c>
      <c r="AB81" s="83">
        <f t="shared" si="7"/>
        <v>0</v>
      </c>
      <c r="AC81" s="83">
        <f t="shared" si="8"/>
        <v>0</v>
      </c>
      <c r="AD81" s="78"/>
      <c r="AE81" s="83">
        <f t="shared" si="9"/>
        <v>0</v>
      </c>
      <c r="AF81" s="78"/>
      <c r="AG81" s="78"/>
      <c r="AH81" s="78"/>
    </row>
    <row r="82" ht="15.75" customHeight="1">
      <c r="A82" s="78"/>
      <c r="B82" s="79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80" t="str">
        <f t="shared" si="1"/>
        <v/>
      </c>
      <c r="Q82" s="80" t="str">
        <f t="shared" si="2"/>
        <v/>
      </c>
      <c r="R82" s="81"/>
      <c r="S82" s="81"/>
      <c r="T82" s="81"/>
      <c r="U82" s="81"/>
      <c r="V82" s="81"/>
      <c r="W82" s="81"/>
      <c r="X82" s="82" t="str">
        <f t="shared" si="3"/>
        <v/>
      </c>
      <c r="Y82" s="82" t="str">
        <f t="shared" si="4"/>
        <v/>
      </c>
      <c r="Z82" s="82" t="str">
        <f t="shared" si="5"/>
        <v/>
      </c>
      <c r="AA82" s="82" t="str">
        <f t="shared" si="6"/>
        <v/>
      </c>
      <c r="AB82" s="83">
        <f t="shared" si="7"/>
        <v>0</v>
      </c>
      <c r="AC82" s="83">
        <f t="shared" si="8"/>
        <v>0</v>
      </c>
      <c r="AD82" s="78"/>
      <c r="AE82" s="83">
        <f t="shared" si="9"/>
        <v>0</v>
      </c>
      <c r="AF82" s="78"/>
      <c r="AG82" s="78"/>
      <c r="AH82" s="78"/>
    </row>
    <row r="83" ht="15.75" customHeight="1">
      <c r="A83" s="78"/>
      <c r="B83" s="79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80" t="str">
        <f t="shared" si="1"/>
        <v/>
      </c>
      <c r="Q83" s="80" t="str">
        <f t="shared" si="2"/>
        <v/>
      </c>
      <c r="R83" s="81"/>
      <c r="S83" s="81"/>
      <c r="T83" s="81"/>
      <c r="U83" s="81"/>
      <c r="V83" s="81"/>
      <c r="W83" s="81"/>
      <c r="X83" s="82" t="str">
        <f t="shared" si="3"/>
        <v/>
      </c>
      <c r="Y83" s="82" t="str">
        <f t="shared" si="4"/>
        <v/>
      </c>
      <c r="Z83" s="82" t="str">
        <f t="shared" si="5"/>
        <v/>
      </c>
      <c r="AA83" s="82" t="str">
        <f t="shared" si="6"/>
        <v/>
      </c>
      <c r="AB83" s="83">
        <f t="shared" si="7"/>
        <v>0</v>
      </c>
      <c r="AC83" s="83">
        <f t="shared" si="8"/>
        <v>0</v>
      </c>
      <c r="AD83" s="78"/>
      <c r="AE83" s="83">
        <f t="shared" si="9"/>
        <v>0</v>
      </c>
      <c r="AF83" s="78"/>
      <c r="AG83" s="78"/>
      <c r="AH83" s="78"/>
    </row>
    <row r="84" ht="15.75" customHeight="1">
      <c r="A84" s="78"/>
      <c r="B84" s="79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80" t="str">
        <f t="shared" si="1"/>
        <v/>
      </c>
      <c r="Q84" s="80" t="str">
        <f t="shared" si="2"/>
        <v/>
      </c>
      <c r="R84" s="81"/>
      <c r="S84" s="81"/>
      <c r="T84" s="81"/>
      <c r="U84" s="81"/>
      <c r="V84" s="81"/>
      <c r="W84" s="81"/>
      <c r="X84" s="82" t="str">
        <f t="shared" si="3"/>
        <v/>
      </c>
      <c r="Y84" s="82" t="str">
        <f t="shared" si="4"/>
        <v/>
      </c>
      <c r="Z84" s="82" t="str">
        <f t="shared" si="5"/>
        <v/>
      </c>
      <c r="AA84" s="82" t="str">
        <f t="shared" si="6"/>
        <v/>
      </c>
      <c r="AB84" s="83">
        <f t="shared" si="7"/>
        <v>0</v>
      </c>
      <c r="AC84" s="83">
        <f t="shared" si="8"/>
        <v>0</v>
      </c>
      <c r="AD84" s="78"/>
      <c r="AE84" s="83">
        <f t="shared" si="9"/>
        <v>0</v>
      </c>
      <c r="AF84" s="78"/>
      <c r="AG84" s="78"/>
      <c r="AH84" s="78"/>
    </row>
    <row r="85" ht="15.75" customHeight="1">
      <c r="A85" s="78"/>
      <c r="B85" s="79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80" t="str">
        <f t="shared" si="1"/>
        <v/>
      </c>
      <c r="Q85" s="80" t="str">
        <f t="shared" si="2"/>
        <v/>
      </c>
      <c r="R85" s="81"/>
      <c r="S85" s="81"/>
      <c r="T85" s="81"/>
      <c r="U85" s="81"/>
      <c r="V85" s="81"/>
      <c r="W85" s="81"/>
      <c r="X85" s="82" t="str">
        <f t="shared" si="3"/>
        <v/>
      </c>
      <c r="Y85" s="82" t="str">
        <f t="shared" si="4"/>
        <v/>
      </c>
      <c r="Z85" s="82" t="str">
        <f t="shared" si="5"/>
        <v/>
      </c>
      <c r="AA85" s="82" t="str">
        <f t="shared" si="6"/>
        <v/>
      </c>
      <c r="AB85" s="83">
        <f t="shared" si="7"/>
        <v>0</v>
      </c>
      <c r="AC85" s="83">
        <f t="shared" si="8"/>
        <v>0</v>
      </c>
      <c r="AD85" s="78"/>
      <c r="AE85" s="83">
        <f t="shared" si="9"/>
        <v>0</v>
      </c>
      <c r="AF85" s="78"/>
      <c r="AG85" s="78"/>
      <c r="AH85" s="78"/>
    </row>
    <row r="86" ht="15.75" customHeight="1">
      <c r="A86" s="78"/>
      <c r="B86" s="79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80" t="str">
        <f t="shared" si="1"/>
        <v/>
      </c>
      <c r="Q86" s="80" t="str">
        <f t="shared" si="2"/>
        <v/>
      </c>
      <c r="R86" s="81"/>
      <c r="S86" s="81"/>
      <c r="T86" s="81"/>
      <c r="U86" s="81"/>
      <c r="V86" s="81"/>
      <c r="W86" s="81"/>
      <c r="X86" s="82" t="str">
        <f t="shared" si="3"/>
        <v/>
      </c>
      <c r="Y86" s="82" t="str">
        <f t="shared" si="4"/>
        <v/>
      </c>
      <c r="Z86" s="82" t="str">
        <f t="shared" si="5"/>
        <v/>
      </c>
      <c r="AA86" s="82" t="str">
        <f t="shared" si="6"/>
        <v/>
      </c>
      <c r="AB86" s="83">
        <f t="shared" si="7"/>
        <v>0</v>
      </c>
      <c r="AC86" s="83">
        <f t="shared" si="8"/>
        <v>0</v>
      </c>
      <c r="AD86" s="78"/>
      <c r="AE86" s="83">
        <f t="shared" si="9"/>
        <v>0</v>
      </c>
      <c r="AF86" s="78"/>
      <c r="AG86" s="78"/>
      <c r="AH86" s="78"/>
    </row>
    <row r="87" ht="15.75" customHeight="1">
      <c r="A87" s="78"/>
      <c r="B87" s="79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80" t="str">
        <f t="shared" si="1"/>
        <v/>
      </c>
      <c r="Q87" s="80" t="str">
        <f t="shared" si="2"/>
        <v/>
      </c>
      <c r="R87" s="81"/>
      <c r="S87" s="81"/>
      <c r="T87" s="81"/>
      <c r="U87" s="81"/>
      <c r="V87" s="81"/>
      <c r="W87" s="81"/>
      <c r="X87" s="82" t="str">
        <f t="shared" si="3"/>
        <v/>
      </c>
      <c r="Y87" s="82" t="str">
        <f t="shared" si="4"/>
        <v/>
      </c>
      <c r="Z87" s="82" t="str">
        <f t="shared" si="5"/>
        <v/>
      </c>
      <c r="AA87" s="82" t="str">
        <f t="shared" si="6"/>
        <v/>
      </c>
      <c r="AB87" s="83">
        <f t="shared" si="7"/>
        <v>0</v>
      </c>
      <c r="AC87" s="83">
        <f t="shared" si="8"/>
        <v>0</v>
      </c>
      <c r="AD87" s="78"/>
      <c r="AE87" s="83">
        <f t="shared" si="9"/>
        <v>0</v>
      </c>
      <c r="AF87" s="78"/>
      <c r="AG87" s="78"/>
      <c r="AH87" s="78"/>
    </row>
    <row r="88" ht="15.75" customHeight="1">
      <c r="A88" s="78"/>
      <c r="B88" s="79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80" t="str">
        <f t="shared" si="1"/>
        <v/>
      </c>
      <c r="Q88" s="80" t="str">
        <f t="shared" si="2"/>
        <v/>
      </c>
      <c r="R88" s="81"/>
      <c r="S88" s="81"/>
      <c r="T88" s="81"/>
      <c r="U88" s="81"/>
      <c r="V88" s="81"/>
      <c r="W88" s="81"/>
      <c r="X88" s="82" t="str">
        <f t="shared" si="3"/>
        <v/>
      </c>
      <c r="Y88" s="82" t="str">
        <f t="shared" si="4"/>
        <v/>
      </c>
      <c r="Z88" s="82" t="str">
        <f t="shared" si="5"/>
        <v/>
      </c>
      <c r="AA88" s="82" t="str">
        <f t="shared" si="6"/>
        <v/>
      </c>
      <c r="AB88" s="83">
        <f t="shared" si="7"/>
        <v>0</v>
      </c>
      <c r="AC88" s="83">
        <f t="shared" si="8"/>
        <v>0</v>
      </c>
      <c r="AD88" s="78"/>
      <c r="AE88" s="83">
        <f t="shared" si="9"/>
        <v>0</v>
      </c>
      <c r="AF88" s="78"/>
      <c r="AG88" s="78"/>
      <c r="AH88" s="78"/>
    </row>
    <row r="89" ht="15.75" customHeight="1">
      <c r="A89" s="78"/>
      <c r="B89" s="79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80" t="str">
        <f t="shared" si="1"/>
        <v/>
      </c>
      <c r="Q89" s="80" t="str">
        <f t="shared" si="2"/>
        <v/>
      </c>
      <c r="R89" s="81"/>
      <c r="S89" s="81"/>
      <c r="T89" s="81"/>
      <c r="U89" s="81"/>
      <c r="V89" s="81"/>
      <c r="W89" s="81"/>
      <c r="X89" s="82" t="str">
        <f t="shared" si="3"/>
        <v/>
      </c>
      <c r="Y89" s="82" t="str">
        <f t="shared" si="4"/>
        <v/>
      </c>
      <c r="Z89" s="82" t="str">
        <f t="shared" si="5"/>
        <v/>
      </c>
      <c r="AA89" s="82" t="str">
        <f t="shared" si="6"/>
        <v/>
      </c>
      <c r="AB89" s="83">
        <f t="shared" si="7"/>
        <v>0</v>
      </c>
      <c r="AC89" s="83">
        <f t="shared" si="8"/>
        <v>0</v>
      </c>
      <c r="AD89" s="78"/>
      <c r="AE89" s="83">
        <f t="shared" si="9"/>
        <v>0</v>
      </c>
      <c r="AF89" s="78"/>
      <c r="AG89" s="78"/>
      <c r="AH89" s="78"/>
    </row>
    <row r="90" ht="15.75" customHeight="1">
      <c r="A90" s="78"/>
      <c r="B90" s="79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80" t="str">
        <f t="shared" si="1"/>
        <v/>
      </c>
      <c r="Q90" s="80" t="str">
        <f t="shared" si="2"/>
        <v/>
      </c>
      <c r="R90" s="81"/>
      <c r="S90" s="81"/>
      <c r="T90" s="81"/>
      <c r="U90" s="81"/>
      <c r="V90" s="81"/>
      <c r="W90" s="81"/>
      <c r="X90" s="82" t="str">
        <f t="shared" si="3"/>
        <v/>
      </c>
      <c r="Y90" s="82" t="str">
        <f t="shared" si="4"/>
        <v/>
      </c>
      <c r="Z90" s="82" t="str">
        <f t="shared" si="5"/>
        <v/>
      </c>
      <c r="AA90" s="82" t="str">
        <f t="shared" si="6"/>
        <v/>
      </c>
      <c r="AB90" s="83">
        <f t="shared" si="7"/>
        <v>0</v>
      </c>
      <c r="AC90" s="83">
        <f t="shared" si="8"/>
        <v>0</v>
      </c>
      <c r="AD90" s="78"/>
      <c r="AE90" s="83">
        <f t="shared" si="9"/>
        <v>0</v>
      </c>
      <c r="AF90" s="78"/>
      <c r="AG90" s="78"/>
      <c r="AH90" s="78"/>
    </row>
    <row r="91" ht="15.75" customHeight="1">
      <c r="A91" s="78"/>
      <c r="B91" s="79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80" t="str">
        <f t="shared" si="1"/>
        <v/>
      </c>
      <c r="Q91" s="80" t="str">
        <f t="shared" si="2"/>
        <v/>
      </c>
      <c r="R91" s="81"/>
      <c r="S91" s="81"/>
      <c r="T91" s="81"/>
      <c r="U91" s="81"/>
      <c r="V91" s="81"/>
      <c r="W91" s="81"/>
      <c r="X91" s="82" t="str">
        <f t="shared" si="3"/>
        <v/>
      </c>
      <c r="Y91" s="82" t="str">
        <f t="shared" si="4"/>
        <v/>
      </c>
      <c r="Z91" s="82" t="str">
        <f t="shared" si="5"/>
        <v/>
      </c>
      <c r="AA91" s="82" t="str">
        <f t="shared" si="6"/>
        <v/>
      </c>
      <c r="AB91" s="83">
        <f t="shared" si="7"/>
        <v>0</v>
      </c>
      <c r="AC91" s="83">
        <f t="shared" si="8"/>
        <v>0</v>
      </c>
      <c r="AD91" s="78"/>
      <c r="AE91" s="83">
        <f t="shared" si="9"/>
        <v>0</v>
      </c>
      <c r="AF91" s="78"/>
      <c r="AG91" s="78"/>
      <c r="AH91" s="78"/>
    </row>
    <row r="92" ht="15.75" customHeight="1">
      <c r="A92" s="78"/>
      <c r="B92" s="79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80" t="str">
        <f t="shared" si="1"/>
        <v/>
      </c>
      <c r="Q92" s="80" t="str">
        <f t="shared" si="2"/>
        <v/>
      </c>
      <c r="R92" s="81"/>
      <c r="S92" s="81"/>
      <c r="T92" s="81"/>
      <c r="U92" s="81"/>
      <c r="V92" s="81"/>
      <c r="W92" s="81"/>
      <c r="X92" s="82" t="str">
        <f t="shared" si="3"/>
        <v/>
      </c>
      <c r="Y92" s="82" t="str">
        <f t="shared" si="4"/>
        <v/>
      </c>
      <c r="Z92" s="82" t="str">
        <f t="shared" si="5"/>
        <v/>
      </c>
      <c r="AA92" s="82" t="str">
        <f t="shared" si="6"/>
        <v/>
      </c>
      <c r="AB92" s="83">
        <f t="shared" si="7"/>
        <v>0</v>
      </c>
      <c r="AC92" s="83">
        <f t="shared" si="8"/>
        <v>0</v>
      </c>
      <c r="AD92" s="78"/>
      <c r="AE92" s="83">
        <f t="shared" si="9"/>
        <v>0</v>
      </c>
      <c r="AF92" s="78"/>
      <c r="AG92" s="78"/>
      <c r="AH92" s="78"/>
    </row>
    <row r="93" ht="15.75" customHeight="1">
      <c r="A93" s="78"/>
      <c r="B93" s="79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80" t="str">
        <f t="shared" si="1"/>
        <v/>
      </c>
      <c r="Q93" s="80" t="str">
        <f t="shared" si="2"/>
        <v/>
      </c>
      <c r="R93" s="81"/>
      <c r="S93" s="81"/>
      <c r="T93" s="81"/>
      <c r="U93" s="81"/>
      <c r="V93" s="81"/>
      <c r="W93" s="81"/>
      <c r="X93" s="82" t="str">
        <f t="shared" si="3"/>
        <v/>
      </c>
      <c r="Y93" s="82" t="str">
        <f t="shared" si="4"/>
        <v/>
      </c>
      <c r="Z93" s="82" t="str">
        <f t="shared" si="5"/>
        <v/>
      </c>
      <c r="AA93" s="82" t="str">
        <f t="shared" si="6"/>
        <v/>
      </c>
      <c r="AB93" s="83">
        <f t="shared" si="7"/>
        <v>0</v>
      </c>
      <c r="AC93" s="83">
        <f t="shared" si="8"/>
        <v>0</v>
      </c>
      <c r="AD93" s="78"/>
      <c r="AE93" s="83">
        <f t="shared" si="9"/>
        <v>0</v>
      </c>
      <c r="AF93" s="78"/>
      <c r="AG93" s="78"/>
      <c r="AH93" s="78"/>
    </row>
    <row r="94" ht="15.75" customHeight="1">
      <c r="A94" s="78"/>
      <c r="B94" s="79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80" t="str">
        <f t="shared" si="1"/>
        <v/>
      </c>
      <c r="Q94" s="80" t="str">
        <f t="shared" si="2"/>
        <v/>
      </c>
      <c r="R94" s="81"/>
      <c r="S94" s="81"/>
      <c r="T94" s="81"/>
      <c r="U94" s="81"/>
      <c r="V94" s="81"/>
      <c r="W94" s="81"/>
      <c r="X94" s="82" t="str">
        <f t="shared" si="3"/>
        <v/>
      </c>
      <c r="Y94" s="82" t="str">
        <f t="shared" si="4"/>
        <v/>
      </c>
      <c r="Z94" s="82" t="str">
        <f t="shared" si="5"/>
        <v/>
      </c>
      <c r="AA94" s="82" t="str">
        <f t="shared" si="6"/>
        <v/>
      </c>
      <c r="AB94" s="83">
        <f t="shared" si="7"/>
        <v>0</v>
      </c>
      <c r="AC94" s="83">
        <f t="shared" si="8"/>
        <v>0</v>
      </c>
      <c r="AD94" s="78"/>
      <c r="AE94" s="83">
        <f t="shared" si="9"/>
        <v>0</v>
      </c>
      <c r="AF94" s="78"/>
      <c r="AG94" s="78"/>
      <c r="AH94" s="78"/>
    </row>
    <row r="95" ht="15.75" customHeight="1">
      <c r="A95" s="78"/>
      <c r="B95" s="79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80" t="str">
        <f t="shared" si="1"/>
        <v/>
      </c>
      <c r="Q95" s="80" t="str">
        <f t="shared" si="2"/>
        <v/>
      </c>
      <c r="R95" s="81"/>
      <c r="S95" s="81"/>
      <c r="T95" s="81"/>
      <c r="U95" s="81"/>
      <c r="V95" s="81"/>
      <c r="W95" s="81"/>
      <c r="X95" s="82" t="str">
        <f t="shared" si="3"/>
        <v/>
      </c>
      <c r="Y95" s="82" t="str">
        <f t="shared" si="4"/>
        <v/>
      </c>
      <c r="Z95" s="82" t="str">
        <f t="shared" si="5"/>
        <v/>
      </c>
      <c r="AA95" s="82" t="str">
        <f t="shared" si="6"/>
        <v/>
      </c>
      <c r="AB95" s="83">
        <f t="shared" si="7"/>
        <v>0</v>
      </c>
      <c r="AC95" s="83">
        <f t="shared" si="8"/>
        <v>0</v>
      </c>
      <c r="AD95" s="78"/>
      <c r="AE95" s="83">
        <f t="shared" si="9"/>
        <v>0</v>
      </c>
      <c r="AF95" s="78"/>
      <c r="AG95" s="78"/>
      <c r="AH95" s="78"/>
    </row>
    <row r="96" ht="15.75" customHeight="1">
      <c r="A96" s="78"/>
      <c r="B96" s="79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80" t="str">
        <f t="shared" si="1"/>
        <v/>
      </c>
      <c r="Q96" s="80" t="str">
        <f t="shared" si="2"/>
        <v/>
      </c>
      <c r="R96" s="81"/>
      <c r="S96" s="81"/>
      <c r="T96" s="81"/>
      <c r="U96" s="81"/>
      <c r="V96" s="81"/>
      <c r="W96" s="81"/>
      <c r="X96" s="82" t="str">
        <f t="shared" si="3"/>
        <v/>
      </c>
      <c r="Y96" s="82" t="str">
        <f t="shared" si="4"/>
        <v/>
      </c>
      <c r="Z96" s="82" t="str">
        <f t="shared" si="5"/>
        <v/>
      </c>
      <c r="AA96" s="82" t="str">
        <f t="shared" si="6"/>
        <v/>
      </c>
      <c r="AB96" s="83">
        <f t="shared" si="7"/>
        <v>0</v>
      </c>
      <c r="AC96" s="83">
        <f t="shared" si="8"/>
        <v>0</v>
      </c>
      <c r="AD96" s="78"/>
      <c r="AE96" s="83">
        <f t="shared" si="9"/>
        <v>0</v>
      </c>
      <c r="AF96" s="78"/>
      <c r="AG96" s="78"/>
      <c r="AH96" s="78"/>
    </row>
    <row r="97" ht="15.75" customHeight="1">
      <c r="A97" s="78"/>
      <c r="B97" s="79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80" t="str">
        <f t="shared" si="1"/>
        <v/>
      </c>
      <c r="Q97" s="80" t="str">
        <f t="shared" si="2"/>
        <v/>
      </c>
      <c r="R97" s="81"/>
      <c r="S97" s="81"/>
      <c r="T97" s="81"/>
      <c r="U97" s="81"/>
      <c r="V97" s="81"/>
      <c r="W97" s="81"/>
      <c r="X97" s="82" t="str">
        <f t="shared" si="3"/>
        <v/>
      </c>
      <c r="Y97" s="82" t="str">
        <f t="shared" si="4"/>
        <v/>
      </c>
      <c r="Z97" s="82" t="str">
        <f t="shared" si="5"/>
        <v/>
      </c>
      <c r="AA97" s="82" t="str">
        <f t="shared" si="6"/>
        <v/>
      </c>
      <c r="AB97" s="83">
        <f t="shared" si="7"/>
        <v>0</v>
      </c>
      <c r="AC97" s="83">
        <f t="shared" si="8"/>
        <v>0</v>
      </c>
      <c r="AD97" s="78"/>
      <c r="AE97" s="83">
        <f t="shared" si="9"/>
        <v>0</v>
      </c>
      <c r="AF97" s="78"/>
      <c r="AG97" s="78"/>
      <c r="AH97" s="78"/>
    </row>
    <row r="98" ht="15.75" customHeight="1">
      <c r="A98" s="78"/>
      <c r="B98" s="79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80" t="str">
        <f t="shared" si="1"/>
        <v/>
      </c>
      <c r="Q98" s="80" t="str">
        <f t="shared" si="2"/>
        <v/>
      </c>
      <c r="R98" s="81"/>
      <c r="S98" s="81"/>
      <c r="T98" s="81"/>
      <c r="U98" s="81"/>
      <c r="V98" s="81"/>
      <c r="W98" s="81"/>
      <c r="X98" s="82" t="str">
        <f t="shared" si="3"/>
        <v/>
      </c>
      <c r="Y98" s="82" t="str">
        <f t="shared" si="4"/>
        <v/>
      </c>
      <c r="Z98" s="82" t="str">
        <f t="shared" si="5"/>
        <v/>
      </c>
      <c r="AA98" s="82" t="str">
        <f t="shared" si="6"/>
        <v/>
      </c>
      <c r="AB98" s="83">
        <f t="shared" si="7"/>
        <v>0</v>
      </c>
      <c r="AC98" s="83">
        <f t="shared" si="8"/>
        <v>0</v>
      </c>
      <c r="AD98" s="78"/>
      <c r="AE98" s="83">
        <f t="shared" si="9"/>
        <v>0</v>
      </c>
      <c r="AF98" s="78"/>
      <c r="AG98" s="78"/>
      <c r="AH98" s="78"/>
    </row>
    <row r="99" ht="15.75" customHeight="1">
      <c r="A99" s="78"/>
      <c r="B99" s="79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80" t="str">
        <f t="shared" si="1"/>
        <v/>
      </c>
      <c r="Q99" s="80" t="str">
        <f t="shared" si="2"/>
        <v/>
      </c>
      <c r="R99" s="81"/>
      <c r="S99" s="81"/>
      <c r="T99" s="81"/>
      <c r="U99" s="81"/>
      <c r="V99" s="81"/>
      <c r="W99" s="81"/>
      <c r="X99" s="82" t="str">
        <f t="shared" si="3"/>
        <v/>
      </c>
      <c r="Y99" s="82" t="str">
        <f t="shared" si="4"/>
        <v/>
      </c>
      <c r="Z99" s="82" t="str">
        <f t="shared" si="5"/>
        <v/>
      </c>
      <c r="AA99" s="82" t="str">
        <f t="shared" si="6"/>
        <v/>
      </c>
      <c r="AB99" s="83">
        <f t="shared" si="7"/>
        <v>0</v>
      </c>
      <c r="AC99" s="83">
        <f t="shared" si="8"/>
        <v>0</v>
      </c>
      <c r="AD99" s="78"/>
      <c r="AE99" s="83">
        <f t="shared" si="9"/>
        <v>0</v>
      </c>
      <c r="AF99" s="78"/>
      <c r="AG99" s="78"/>
      <c r="AH99" s="78"/>
    </row>
    <row r="100" ht="15.75" customHeight="1">
      <c r="A100" s="78"/>
      <c r="B100" s="79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80" t="str">
        <f t="shared" si="1"/>
        <v/>
      </c>
      <c r="Q100" s="80" t="str">
        <f t="shared" si="2"/>
        <v/>
      </c>
      <c r="R100" s="81"/>
      <c r="S100" s="81"/>
      <c r="T100" s="81"/>
      <c r="U100" s="81"/>
      <c r="V100" s="81"/>
      <c r="W100" s="81"/>
      <c r="X100" s="82" t="str">
        <f t="shared" si="3"/>
        <v/>
      </c>
      <c r="Y100" s="82" t="str">
        <f t="shared" si="4"/>
        <v/>
      </c>
      <c r="Z100" s="82" t="str">
        <f t="shared" si="5"/>
        <v/>
      </c>
      <c r="AA100" s="82" t="str">
        <f t="shared" si="6"/>
        <v/>
      </c>
      <c r="AB100" s="83">
        <f t="shared" si="7"/>
        <v>0</v>
      </c>
      <c r="AC100" s="83">
        <f t="shared" si="8"/>
        <v>0</v>
      </c>
      <c r="AD100" s="78"/>
      <c r="AE100" s="83">
        <f t="shared" si="9"/>
        <v>0</v>
      </c>
      <c r="AF100" s="78"/>
      <c r="AG100" s="78"/>
      <c r="AH100" s="78"/>
    </row>
    <row r="101" ht="15.75" customHeight="1">
      <c r="A101" s="78"/>
      <c r="B101" s="79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80" t="str">
        <f t="shared" si="1"/>
        <v/>
      </c>
      <c r="Q101" s="80" t="str">
        <f t="shared" si="2"/>
        <v/>
      </c>
      <c r="R101" s="81"/>
      <c r="S101" s="81"/>
      <c r="T101" s="81"/>
      <c r="U101" s="81"/>
      <c r="V101" s="81"/>
      <c r="W101" s="81"/>
      <c r="X101" s="82" t="str">
        <f t="shared" si="3"/>
        <v/>
      </c>
      <c r="Y101" s="82" t="str">
        <f t="shared" si="4"/>
        <v/>
      </c>
      <c r="Z101" s="82" t="str">
        <f t="shared" si="5"/>
        <v/>
      </c>
      <c r="AA101" s="82" t="str">
        <f t="shared" si="6"/>
        <v/>
      </c>
      <c r="AB101" s="83">
        <f t="shared" si="7"/>
        <v>0</v>
      </c>
      <c r="AC101" s="83">
        <f t="shared" si="8"/>
        <v>0</v>
      </c>
      <c r="AD101" s="78"/>
      <c r="AE101" s="83">
        <f t="shared" si="9"/>
        <v>0</v>
      </c>
      <c r="AF101" s="78"/>
      <c r="AG101" s="78"/>
      <c r="AH101" s="78"/>
    </row>
    <row r="102" ht="15.75" customHeight="1">
      <c r="A102" s="78"/>
      <c r="B102" s="79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80" t="str">
        <f t="shared" si="1"/>
        <v/>
      </c>
      <c r="Q102" s="80" t="str">
        <f t="shared" si="2"/>
        <v/>
      </c>
      <c r="R102" s="81"/>
      <c r="S102" s="81"/>
      <c r="T102" s="81"/>
      <c r="U102" s="81"/>
      <c r="V102" s="81"/>
      <c r="W102" s="81"/>
      <c r="X102" s="82" t="str">
        <f t="shared" si="3"/>
        <v/>
      </c>
      <c r="Y102" s="82" t="str">
        <f t="shared" si="4"/>
        <v/>
      </c>
      <c r="Z102" s="82" t="str">
        <f t="shared" si="5"/>
        <v/>
      </c>
      <c r="AA102" s="82" t="str">
        <f t="shared" si="6"/>
        <v/>
      </c>
      <c r="AB102" s="83">
        <f t="shared" si="7"/>
        <v>0</v>
      </c>
      <c r="AC102" s="83">
        <f t="shared" si="8"/>
        <v>0</v>
      </c>
      <c r="AD102" s="78"/>
      <c r="AE102" s="83">
        <f t="shared" si="9"/>
        <v>0</v>
      </c>
      <c r="AF102" s="78"/>
      <c r="AG102" s="78"/>
      <c r="AH102" s="78"/>
    </row>
    <row r="103" ht="15.75" customHeight="1">
      <c r="A103" s="78"/>
      <c r="B103" s="79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80" t="str">
        <f t="shared" si="1"/>
        <v/>
      </c>
      <c r="Q103" s="80" t="str">
        <f t="shared" si="2"/>
        <v/>
      </c>
      <c r="R103" s="81"/>
      <c r="S103" s="81"/>
      <c r="T103" s="81"/>
      <c r="U103" s="81"/>
      <c r="V103" s="81"/>
      <c r="W103" s="81"/>
      <c r="X103" s="82" t="str">
        <f t="shared" si="3"/>
        <v/>
      </c>
      <c r="Y103" s="82" t="str">
        <f t="shared" si="4"/>
        <v/>
      </c>
      <c r="Z103" s="82" t="str">
        <f t="shared" si="5"/>
        <v/>
      </c>
      <c r="AA103" s="82" t="str">
        <f t="shared" si="6"/>
        <v/>
      </c>
      <c r="AB103" s="83">
        <f t="shared" si="7"/>
        <v>0</v>
      </c>
      <c r="AC103" s="83">
        <f t="shared" si="8"/>
        <v>0</v>
      </c>
      <c r="AD103" s="78"/>
      <c r="AE103" s="83">
        <f t="shared" si="9"/>
        <v>0</v>
      </c>
      <c r="AF103" s="78"/>
      <c r="AG103" s="78"/>
      <c r="AH103" s="78"/>
    </row>
    <row r="104" ht="15.75" customHeight="1">
      <c r="A104" s="78"/>
      <c r="B104" s="79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80" t="str">
        <f t="shared" si="1"/>
        <v/>
      </c>
      <c r="Q104" s="80" t="str">
        <f t="shared" si="2"/>
        <v/>
      </c>
      <c r="R104" s="81"/>
      <c r="S104" s="81"/>
      <c r="T104" s="81"/>
      <c r="U104" s="81"/>
      <c r="V104" s="81"/>
      <c r="W104" s="81"/>
      <c r="X104" s="82" t="str">
        <f t="shared" si="3"/>
        <v/>
      </c>
      <c r="Y104" s="82" t="str">
        <f t="shared" si="4"/>
        <v/>
      </c>
      <c r="Z104" s="82" t="str">
        <f t="shared" si="5"/>
        <v/>
      </c>
      <c r="AA104" s="82" t="str">
        <f t="shared" si="6"/>
        <v/>
      </c>
      <c r="AB104" s="83">
        <f t="shared" si="7"/>
        <v>0</v>
      </c>
      <c r="AC104" s="83">
        <f t="shared" si="8"/>
        <v>0</v>
      </c>
      <c r="AD104" s="78"/>
      <c r="AE104" s="83">
        <f t="shared" si="9"/>
        <v>0</v>
      </c>
      <c r="AF104" s="78"/>
      <c r="AG104" s="78"/>
      <c r="AH104" s="78"/>
    </row>
    <row r="105" ht="15.75" customHeight="1">
      <c r="A105" s="78"/>
      <c r="B105" s="79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80" t="str">
        <f t="shared" si="1"/>
        <v/>
      </c>
      <c r="Q105" s="80" t="str">
        <f t="shared" si="2"/>
        <v/>
      </c>
      <c r="R105" s="81"/>
      <c r="S105" s="81"/>
      <c r="T105" s="81"/>
      <c r="U105" s="81"/>
      <c r="V105" s="81"/>
      <c r="W105" s="81"/>
      <c r="X105" s="82" t="str">
        <f t="shared" si="3"/>
        <v/>
      </c>
      <c r="Y105" s="82" t="str">
        <f t="shared" si="4"/>
        <v/>
      </c>
      <c r="Z105" s="82" t="str">
        <f t="shared" si="5"/>
        <v/>
      </c>
      <c r="AA105" s="82" t="str">
        <f t="shared" si="6"/>
        <v/>
      </c>
      <c r="AB105" s="83">
        <f t="shared" si="7"/>
        <v>0</v>
      </c>
      <c r="AC105" s="83">
        <f t="shared" si="8"/>
        <v>0</v>
      </c>
      <c r="AD105" s="78"/>
      <c r="AE105" s="83">
        <f t="shared" si="9"/>
        <v>0</v>
      </c>
      <c r="AF105" s="78"/>
      <c r="AG105" s="78"/>
      <c r="AH105" s="78"/>
    </row>
    <row r="106" ht="15.75" customHeight="1">
      <c r="A106" s="78"/>
      <c r="B106" s="79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80" t="str">
        <f t="shared" si="1"/>
        <v/>
      </c>
      <c r="Q106" s="80" t="str">
        <f t="shared" si="2"/>
        <v/>
      </c>
      <c r="R106" s="81"/>
      <c r="S106" s="81"/>
      <c r="T106" s="81"/>
      <c r="U106" s="81"/>
      <c r="V106" s="81"/>
      <c r="W106" s="81"/>
      <c r="X106" s="82" t="str">
        <f t="shared" si="3"/>
        <v/>
      </c>
      <c r="Y106" s="82" t="str">
        <f t="shared" si="4"/>
        <v/>
      </c>
      <c r="Z106" s="82" t="str">
        <f t="shared" si="5"/>
        <v/>
      </c>
      <c r="AA106" s="82" t="str">
        <f t="shared" si="6"/>
        <v/>
      </c>
      <c r="AB106" s="83">
        <f t="shared" si="7"/>
        <v>0</v>
      </c>
      <c r="AC106" s="83">
        <f t="shared" si="8"/>
        <v>0</v>
      </c>
      <c r="AD106" s="78"/>
      <c r="AE106" s="83">
        <f t="shared" si="9"/>
        <v>0</v>
      </c>
      <c r="AF106" s="78"/>
      <c r="AG106" s="78"/>
      <c r="AH106" s="78"/>
    </row>
    <row r="107" ht="15.75" customHeight="1">
      <c r="A107" s="78"/>
      <c r="B107" s="79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80" t="str">
        <f t="shared" si="1"/>
        <v/>
      </c>
      <c r="Q107" s="80" t="str">
        <f t="shared" si="2"/>
        <v/>
      </c>
      <c r="R107" s="81"/>
      <c r="S107" s="81"/>
      <c r="T107" s="81"/>
      <c r="U107" s="81"/>
      <c r="V107" s="81"/>
      <c r="W107" s="81"/>
      <c r="X107" s="82" t="str">
        <f t="shared" si="3"/>
        <v/>
      </c>
      <c r="Y107" s="82" t="str">
        <f t="shared" si="4"/>
        <v/>
      </c>
      <c r="Z107" s="82" t="str">
        <f t="shared" si="5"/>
        <v/>
      </c>
      <c r="AA107" s="82" t="str">
        <f t="shared" si="6"/>
        <v/>
      </c>
      <c r="AB107" s="83">
        <f t="shared" si="7"/>
        <v>0</v>
      </c>
      <c r="AC107" s="83">
        <f t="shared" si="8"/>
        <v>0</v>
      </c>
      <c r="AD107" s="78"/>
      <c r="AE107" s="83">
        <f t="shared" si="9"/>
        <v>0</v>
      </c>
      <c r="AF107" s="78"/>
      <c r="AG107" s="78"/>
      <c r="AH107" s="78"/>
    </row>
    <row r="108" ht="15.75" customHeight="1">
      <c r="A108" s="78"/>
      <c r="B108" s="79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80" t="str">
        <f t="shared" si="1"/>
        <v/>
      </c>
      <c r="Q108" s="80" t="str">
        <f t="shared" si="2"/>
        <v/>
      </c>
      <c r="R108" s="81"/>
      <c r="S108" s="81"/>
      <c r="T108" s="81"/>
      <c r="U108" s="81"/>
      <c r="V108" s="81"/>
      <c r="W108" s="81"/>
      <c r="X108" s="82" t="str">
        <f t="shared" si="3"/>
        <v/>
      </c>
      <c r="Y108" s="82" t="str">
        <f t="shared" si="4"/>
        <v/>
      </c>
      <c r="Z108" s="82" t="str">
        <f t="shared" si="5"/>
        <v/>
      </c>
      <c r="AA108" s="82" t="str">
        <f t="shared" si="6"/>
        <v/>
      </c>
      <c r="AB108" s="83">
        <f t="shared" si="7"/>
        <v>0</v>
      </c>
      <c r="AC108" s="83">
        <f t="shared" si="8"/>
        <v>0</v>
      </c>
      <c r="AD108" s="78"/>
      <c r="AE108" s="83">
        <f t="shared" si="9"/>
        <v>0</v>
      </c>
      <c r="AF108" s="78"/>
      <c r="AG108" s="78"/>
      <c r="AH108" s="78"/>
    </row>
    <row r="109" ht="15.75" customHeight="1">
      <c r="A109" s="78"/>
      <c r="B109" s="79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80" t="str">
        <f t="shared" si="1"/>
        <v/>
      </c>
      <c r="Q109" s="80" t="str">
        <f t="shared" si="2"/>
        <v/>
      </c>
      <c r="R109" s="81"/>
      <c r="S109" s="81"/>
      <c r="T109" s="81"/>
      <c r="U109" s="81"/>
      <c r="V109" s="81"/>
      <c r="W109" s="81"/>
      <c r="X109" s="82" t="str">
        <f t="shared" si="3"/>
        <v/>
      </c>
      <c r="Y109" s="82" t="str">
        <f t="shared" si="4"/>
        <v/>
      </c>
      <c r="Z109" s="82" t="str">
        <f t="shared" si="5"/>
        <v/>
      </c>
      <c r="AA109" s="82" t="str">
        <f t="shared" si="6"/>
        <v/>
      </c>
      <c r="AB109" s="83">
        <f t="shared" si="7"/>
        <v>0</v>
      </c>
      <c r="AC109" s="83">
        <f t="shared" si="8"/>
        <v>0</v>
      </c>
      <c r="AD109" s="78"/>
      <c r="AE109" s="83">
        <f t="shared" si="9"/>
        <v>0</v>
      </c>
      <c r="AF109" s="78"/>
      <c r="AG109" s="78"/>
      <c r="AH109" s="78"/>
    </row>
    <row r="110" ht="15.75" customHeight="1">
      <c r="A110" s="78"/>
      <c r="B110" s="79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80" t="str">
        <f t="shared" si="1"/>
        <v/>
      </c>
      <c r="Q110" s="80" t="str">
        <f t="shared" si="2"/>
        <v/>
      </c>
      <c r="R110" s="81"/>
      <c r="S110" s="81"/>
      <c r="T110" s="81"/>
      <c r="U110" s="81"/>
      <c r="V110" s="81"/>
      <c r="W110" s="81"/>
      <c r="X110" s="82" t="str">
        <f t="shared" si="3"/>
        <v/>
      </c>
      <c r="Y110" s="82" t="str">
        <f t="shared" si="4"/>
        <v/>
      </c>
      <c r="Z110" s="82" t="str">
        <f t="shared" si="5"/>
        <v/>
      </c>
      <c r="AA110" s="82" t="str">
        <f t="shared" si="6"/>
        <v/>
      </c>
      <c r="AB110" s="83">
        <f t="shared" si="7"/>
        <v>0</v>
      </c>
      <c r="AC110" s="83">
        <f t="shared" si="8"/>
        <v>0</v>
      </c>
      <c r="AD110" s="78"/>
      <c r="AE110" s="83">
        <f t="shared" si="9"/>
        <v>0</v>
      </c>
      <c r="AF110" s="78"/>
      <c r="AG110" s="78"/>
      <c r="AH110" s="78"/>
    </row>
    <row r="111" ht="15.75" customHeight="1">
      <c r="A111" s="78"/>
      <c r="B111" s="79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80" t="str">
        <f t="shared" si="1"/>
        <v/>
      </c>
      <c r="Q111" s="80" t="str">
        <f t="shared" si="2"/>
        <v/>
      </c>
      <c r="R111" s="81"/>
      <c r="S111" s="81"/>
      <c r="T111" s="81"/>
      <c r="U111" s="81"/>
      <c r="V111" s="81"/>
      <c r="W111" s="81"/>
      <c r="X111" s="82" t="str">
        <f t="shared" si="3"/>
        <v/>
      </c>
      <c r="Y111" s="82" t="str">
        <f t="shared" si="4"/>
        <v/>
      </c>
      <c r="Z111" s="82" t="str">
        <f t="shared" si="5"/>
        <v/>
      </c>
      <c r="AA111" s="82" t="str">
        <f t="shared" si="6"/>
        <v/>
      </c>
      <c r="AB111" s="83">
        <f t="shared" si="7"/>
        <v>0</v>
      </c>
      <c r="AC111" s="83">
        <f t="shared" si="8"/>
        <v>0</v>
      </c>
      <c r="AD111" s="78"/>
      <c r="AE111" s="83">
        <f t="shared" si="9"/>
        <v>0</v>
      </c>
      <c r="AF111" s="78"/>
      <c r="AG111" s="78"/>
      <c r="AH111" s="78"/>
    </row>
    <row r="112" ht="15.75" customHeight="1">
      <c r="A112" s="78"/>
      <c r="B112" s="79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80" t="str">
        <f t="shared" si="1"/>
        <v/>
      </c>
      <c r="Q112" s="80" t="str">
        <f t="shared" si="2"/>
        <v/>
      </c>
      <c r="R112" s="81"/>
      <c r="S112" s="81"/>
      <c r="T112" s="81"/>
      <c r="U112" s="81"/>
      <c r="V112" s="81"/>
      <c r="W112" s="81"/>
      <c r="X112" s="82" t="str">
        <f t="shared" si="3"/>
        <v/>
      </c>
      <c r="Y112" s="82" t="str">
        <f t="shared" si="4"/>
        <v/>
      </c>
      <c r="Z112" s="82" t="str">
        <f t="shared" si="5"/>
        <v/>
      </c>
      <c r="AA112" s="82" t="str">
        <f t="shared" si="6"/>
        <v/>
      </c>
      <c r="AB112" s="83">
        <f t="shared" si="7"/>
        <v>0</v>
      </c>
      <c r="AC112" s="83">
        <f t="shared" si="8"/>
        <v>0</v>
      </c>
      <c r="AD112" s="78"/>
      <c r="AE112" s="83">
        <f t="shared" si="9"/>
        <v>0</v>
      </c>
      <c r="AF112" s="78"/>
      <c r="AG112" s="78"/>
      <c r="AH112" s="78"/>
    </row>
    <row r="113" ht="15.75" customHeight="1">
      <c r="A113" s="78"/>
      <c r="B113" s="79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80" t="str">
        <f t="shared" si="1"/>
        <v/>
      </c>
      <c r="Q113" s="80" t="str">
        <f t="shared" si="2"/>
        <v/>
      </c>
      <c r="R113" s="81"/>
      <c r="S113" s="81"/>
      <c r="T113" s="81"/>
      <c r="U113" s="81"/>
      <c r="V113" s="81"/>
      <c r="W113" s="81"/>
      <c r="X113" s="82" t="str">
        <f t="shared" si="3"/>
        <v/>
      </c>
      <c r="Y113" s="82" t="str">
        <f t="shared" si="4"/>
        <v/>
      </c>
      <c r="Z113" s="82" t="str">
        <f t="shared" si="5"/>
        <v/>
      </c>
      <c r="AA113" s="82" t="str">
        <f t="shared" si="6"/>
        <v/>
      </c>
      <c r="AB113" s="83">
        <f t="shared" si="7"/>
        <v>0</v>
      </c>
      <c r="AC113" s="83">
        <f t="shared" si="8"/>
        <v>0</v>
      </c>
      <c r="AD113" s="78"/>
      <c r="AE113" s="83">
        <f t="shared" si="9"/>
        <v>0</v>
      </c>
      <c r="AF113" s="78"/>
      <c r="AG113" s="78"/>
      <c r="AH113" s="78"/>
    </row>
    <row r="114" ht="15.75" customHeight="1">
      <c r="A114" s="78"/>
      <c r="B114" s="79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80" t="str">
        <f t="shared" si="1"/>
        <v/>
      </c>
      <c r="Q114" s="80" t="str">
        <f t="shared" si="2"/>
        <v/>
      </c>
      <c r="R114" s="81"/>
      <c r="S114" s="81"/>
      <c r="T114" s="81"/>
      <c r="U114" s="81"/>
      <c r="V114" s="81"/>
      <c r="W114" s="81"/>
      <c r="X114" s="82" t="str">
        <f t="shared" si="3"/>
        <v/>
      </c>
      <c r="Y114" s="82" t="str">
        <f t="shared" si="4"/>
        <v/>
      </c>
      <c r="Z114" s="82" t="str">
        <f t="shared" si="5"/>
        <v/>
      </c>
      <c r="AA114" s="82" t="str">
        <f t="shared" si="6"/>
        <v/>
      </c>
      <c r="AB114" s="83">
        <f t="shared" si="7"/>
        <v>0</v>
      </c>
      <c r="AC114" s="83">
        <f t="shared" si="8"/>
        <v>0</v>
      </c>
      <c r="AD114" s="78"/>
      <c r="AE114" s="83">
        <f t="shared" si="9"/>
        <v>0</v>
      </c>
      <c r="AF114" s="78"/>
      <c r="AG114" s="78"/>
      <c r="AH114" s="78"/>
    </row>
    <row r="115" ht="15.75" customHeight="1">
      <c r="A115" s="78"/>
      <c r="B115" s="79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80" t="str">
        <f t="shared" si="1"/>
        <v/>
      </c>
      <c r="Q115" s="80" t="str">
        <f t="shared" si="2"/>
        <v/>
      </c>
      <c r="R115" s="81"/>
      <c r="S115" s="81"/>
      <c r="T115" s="81"/>
      <c r="U115" s="81"/>
      <c r="V115" s="81"/>
      <c r="W115" s="81"/>
      <c r="X115" s="82" t="str">
        <f t="shared" si="3"/>
        <v/>
      </c>
      <c r="Y115" s="82" t="str">
        <f t="shared" si="4"/>
        <v/>
      </c>
      <c r="Z115" s="82" t="str">
        <f t="shared" si="5"/>
        <v/>
      </c>
      <c r="AA115" s="82" t="str">
        <f t="shared" si="6"/>
        <v/>
      </c>
      <c r="AB115" s="83">
        <f t="shared" si="7"/>
        <v>0</v>
      </c>
      <c r="AC115" s="83">
        <f t="shared" si="8"/>
        <v>0</v>
      </c>
      <c r="AD115" s="78"/>
      <c r="AE115" s="83">
        <f t="shared" si="9"/>
        <v>0</v>
      </c>
      <c r="AF115" s="78"/>
      <c r="AG115" s="78"/>
      <c r="AH115" s="78"/>
    </row>
    <row r="116" ht="15.75" customHeight="1">
      <c r="A116" s="78"/>
      <c r="B116" s="79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80" t="str">
        <f t="shared" si="1"/>
        <v/>
      </c>
      <c r="Q116" s="80" t="str">
        <f t="shared" si="2"/>
        <v/>
      </c>
      <c r="R116" s="81"/>
      <c r="S116" s="81"/>
      <c r="T116" s="81"/>
      <c r="U116" s="81"/>
      <c r="V116" s="81"/>
      <c r="W116" s="81"/>
      <c r="X116" s="82" t="str">
        <f t="shared" si="3"/>
        <v/>
      </c>
      <c r="Y116" s="82" t="str">
        <f t="shared" si="4"/>
        <v/>
      </c>
      <c r="Z116" s="82" t="str">
        <f t="shared" si="5"/>
        <v/>
      </c>
      <c r="AA116" s="82" t="str">
        <f t="shared" si="6"/>
        <v/>
      </c>
      <c r="AB116" s="83">
        <f t="shared" si="7"/>
        <v>0</v>
      </c>
      <c r="AC116" s="83">
        <f t="shared" si="8"/>
        <v>0</v>
      </c>
      <c r="AD116" s="78"/>
      <c r="AE116" s="83">
        <f t="shared" si="9"/>
        <v>0</v>
      </c>
      <c r="AF116" s="78"/>
      <c r="AG116" s="78"/>
      <c r="AH116" s="78"/>
    </row>
    <row r="117" ht="15.75" customHeight="1">
      <c r="A117" s="78"/>
      <c r="B117" s="79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80" t="str">
        <f t="shared" si="1"/>
        <v/>
      </c>
      <c r="Q117" s="80" t="str">
        <f t="shared" si="2"/>
        <v/>
      </c>
      <c r="R117" s="81"/>
      <c r="S117" s="81"/>
      <c r="T117" s="81"/>
      <c r="U117" s="81"/>
      <c r="V117" s="81"/>
      <c r="W117" s="81"/>
      <c r="X117" s="82" t="str">
        <f t="shared" si="3"/>
        <v/>
      </c>
      <c r="Y117" s="82" t="str">
        <f t="shared" si="4"/>
        <v/>
      </c>
      <c r="Z117" s="82" t="str">
        <f t="shared" si="5"/>
        <v/>
      </c>
      <c r="AA117" s="82" t="str">
        <f t="shared" si="6"/>
        <v/>
      </c>
      <c r="AB117" s="83">
        <f t="shared" si="7"/>
        <v>0</v>
      </c>
      <c r="AC117" s="83">
        <f t="shared" si="8"/>
        <v>0</v>
      </c>
      <c r="AD117" s="78"/>
      <c r="AE117" s="83">
        <f t="shared" si="9"/>
        <v>0</v>
      </c>
      <c r="AF117" s="78"/>
      <c r="AG117" s="78"/>
      <c r="AH117" s="78"/>
    </row>
    <row r="118" ht="15.75" customHeight="1">
      <c r="A118" s="78"/>
      <c r="B118" s="79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80" t="str">
        <f t="shared" si="1"/>
        <v/>
      </c>
      <c r="Q118" s="80" t="str">
        <f t="shared" si="2"/>
        <v/>
      </c>
      <c r="R118" s="81"/>
      <c r="S118" s="81"/>
      <c r="T118" s="81"/>
      <c r="U118" s="81"/>
      <c r="V118" s="81"/>
      <c r="W118" s="81"/>
      <c r="X118" s="82" t="str">
        <f t="shared" si="3"/>
        <v/>
      </c>
      <c r="Y118" s="82" t="str">
        <f t="shared" si="4"/>
        <v/>
      </c>
      <c r="Z118" s="82" t="str">
        <f t="shared" si="5"/>
        <v/>
      </c>
      <c r="AA118" s="82" t="str">
        <f t="shared" si="6"/>
        <v/>
      </c>
      <c r="AB118" s="83">
        <f t="shared" si="7"/>
        <v>0</v>
      </c>
      <c r="AC118" s="83">
        <f t="shared" si="8"/>
        <v>0</v>
      </c>
      <c r="AD118" s="78"/>
      <c r="AE118" s="83">
        <f t="shared" si="9"/>
        <v>0</v>
      </c>
      <c r="AF118" s="78"/>
      <c r="AG118" s="78"/>
      <c r="AH118" s="78"/>
    </row>
    <row r="119" ht="15.75" customHeight="1">
      <c r="A119" s="78"/>
      <c r="B119" s="79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80" t="str">
        <f t="shared" si="1"/>
        <v/>
      </c>
      <c r="Q119" s="80" t="str">
        <f t="shared" si="2"/>
        <v/>
      </c>
      <c r="R119" s="81"/>
      <c r="S119" s="81"/>
      <c r="T119" s="81"/>
      <c r="U119" s="81"/>
      <c r="V119" s="81"/>
      <c r="W119" s="81"/>
      <c r="X119" s="82" t="str">
        <f t="shared" si="3"/>
        <v/>
      </c>
      <c r="Y119" s="82" t="str">
        <f t="shared" si="4"/>
        <v/>
      </c>
      <c r="Z119" s="82" t="str">
        <f t="shared" si="5"/>
        <v/>
      </c>
      <c r="AA119" s="82" t="str">
        <f t="shared" si="6"/>
        <v/>
      </c>
      <c r="AB119" s="83">
        <f t="shared" si="7"/>
        <v>0</v>
      </c>
      <c r="AC119" s="83">
        <f t="shared" si="8"/>
        <v>0</v>
      </c>
      <c r="AD119" s="78"/>
      <c r="AE119" s="83">
        <f t="shared" si="9"/>
        <v>0</v>
      </c>
      <c r="AF119" s="78"/>
      <c r="AG119" s="78"/>
      <c r="AH119" s="78"/>
    </row>
    <row r="120" ht="15.75" customHeight="1">
      <c r="A120" s="78"/>
      <c r="B120" s="79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80" t="str">
        <f t="shared" si="1"/>
        <v/>
      </c>
      <c r="Q120" s="80" t="str">
        <f t="shared" si="2"/>
        <v/>
      </c>
      <c r="R120" s="81"/>
      <c r="S120" s="81"/>
      <c r="T120" s="81"/>
      <c r="U120" s="81"/>
      <c r="V120" s="81"/>
      <c r="W120" s="81"/>
      <c r="X120" s="82" t="str">
        <f t="shared" si="3"/>
        <v/>
      </c>
      <c r="Y120" s="82" t="str">
        <f t="shared" si="4"/>
        <v/>
      </c>
      <c r="Z120" s="82" t="str">
        <f t="shared" si="5"/>
        <v/>
      </c>
      <c r="AA120" s="82" t="str">
        <f t="shared" si="6"/>
        <v/>
      </c>
      <c r="AB120" s="83">
        <f t="shared" si="7"/>
        <v>0</v>
      </c>
      <c r="AC120" s="83">
        <f t="shared" si="8"/>
        <v>0</v>
      </c>
      <c r="AD120" s="78"/>
      <c r="AE120" s="83">
        <f t="shared" si="9"/>
        <v>0</v>
      </c>
      <c r="AF120" s="78"/>
      <c r="AG120" s="78"/>
      <c r="AH120" s="78"/>
    </row>
    <row r="121" ht="15.75" customHeight="1">
      <c r="A121" s="78"/>
      <c r="B121" s="79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80" t="str">
        <f t="shared" si="1"/>
        <v/>
      </c>
      <c r="Q121" s="80" t="str">
        <f t="shared" si="2"/>
        <v/>
      </c>
      <c r="R121" s="81"/>
      <c r="S121" s="81"/>
      <c r="T121" s="81"/>
      <c r="U121" s="81"/>
      <c r="V121" s="81"/>
      <c r="W121" s="81"/>
      <c r="X121" s="82" t="str">
        <f t="shared" si="3"/>
        <v/>
      </c>
      <c r="Y121" s="82" t="str">
        <f t="shared" si="4"/>
        <v/>
      </c>
      <c r="Z121" s="82" t="str">
        <f t="shared" si="5"/>
        <v/>
      </c>
      <c r="AA121" s="82" t="str">
        <f t="shared" si="6"/>
        <v/>
      </c>
      <c r="AB121" s="83">
        <f t="shared" si="7"/>
        <v>0</v>
      </c>
      <c r="AC121" s="83">
        <f t="shared" si="8"/>
        <v>0</v>
      </c>
      <c r="AD121" s="78"/>
      <c r="AE121" s="83">
        <f t="shared" si="9"/>
        <v>0</v>
      </c>
      <c r="AF121" s="78"/>
      <c r="AG121" s="78"/>
      <c r="AH121" s="78"/>
    </row>
    <row r="122" ht="15.75" customHeight="1">
      <c r="A122" s="78"/>
      <c r="B122" s="79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80" t="str">
        <f t="shared" si="1"/>
        <v/>
      </c>
      <c r="Q122" s="80" t="str">
        <f t="shared" si="2"/>
        <v/>
      </c>
      <c r="R122" s="81"/>
      <c r="S122" s="81"/>
      <c r="T122" s="81"/>
      <c r="U122" s="81"/>
      <c r="V122" s="81"/>
      <c r="W122" s="81"/>
      <c r="X122" s="82" t="str">
        <f t="shared" si="3"/>
        <v/>
      </c>
      <c r="Y122" s="82" t="str">
        <f t="shared" si="4"/>
        <v/>
      </c>
      <c r="Z122" s="82" t="str">
        <f t="shared" si="5"/>
        <v/>
      </c>
      <c r="AA122" s="82" t="str">
        <f t="shared" si="6"/>
        <v/>
      </c>
      <c r="AB122" s="83">
        <f t="shared" si="7"/>
        <v>0</v>
      </c>
      <c r="AC122" s="83">
        <f t="shared" si="8"/>
        <v>0</v>
      </c>
      <c r="AD122" s="78"/>
      <c r="AE122" s="83">
        <f t="shared" si="9"/>
        <v>0</v>
      </c>
      <c r="AF122" s="78"/>
      <c r="AG122" s="78"/>
      <c r="AH122" s="78"/>
    </row>
    <row r="123" ht="15.75" customHeight="1">
      <c r="A123" s="78"/>
      <c r="B123" s="79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80" t="str">
        <f t="shared" si="1"/>
        <v/>
      </c>
      <c r="Q123" s="80" t="str">
        <f t="shared" si="2"/>
        <v/>
      </c>
      <c r="R123" s="81"/>
      <c r="S123" s="81"/>
      <c r="T123" s="81"/>
      <c r="U123" s="81"/>
      <c r="V123" s="81"/>
      <c r="W123" s="81"/>
      <c r="X123" s="82" t="str">
        <f t="shared" si="3"/>
        <v/>
      </c>
      <c r="Y123" s="82" t="str">
        <f t="shared" si="4"/>
        <v/>
      </c>
      <c r="Z123" s="82" t="str">
        <f t="shared" si="5"/>
        <v/>
      </c>
      <c r="AA123" s="82" t="str">
        <f t="shared" si="6"/>
        <v/>
      </c>
      <c r="AB123" s="83">
        <f t="shared" si="7"/>
        <v>0</v>
      </c>
      <c r="AC123" s="83">
        <f t="shared" si="8"/>
        <v>0</v>
      </c>
      <c r="AD123" s="78"/>
      <c r="AE123" s="83">
        <f t="shared" si="9"/>
        <v>0</v>
      </c>
      <c r="AF123" s="78"/>
      <c r="AG123" s="78"/>
      <c r="AH123" s="78"/>
    </row>
    <row r="124" ht="15.75" customHeight="1">
      <c r="A124" s="78"/>
      <c r="B124" s="79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80" t="str">
        <f t="shared" si="1"/>
        <v/>
      </c>
      <c r="Q124" s="80" t="str">
        <f t="shared" si="2"/>
        <v/>
      </c>
      <c r="R124" s="81"/>
      <c r="S124" s="81"/>
      <c r="T124" s="81"/>
      <c r="U124" s="81"/>
      <c r="V124" s="81"/>
      <c r="W124" s="81"/>
      <c r="X124" s="82" t="str">
        <f t="shared" si="3"/>
        <v/>
      </c>
      <c r="Y124" s="82" t="str">
        <f t="shared" si="4"/>
        <v/>
      </c>
      <c r="Z124" s="82" t="str">
        <f t="shared" si="5"/>
        <v/>
      </c>
      <c r="AA124" s="82" t="str">
        <f t="shared" si="6"/>
        <v/>
      </c>
      <c r="AB124" s="83">
        <f t="shared" si="7"/>
        <v>0</v>
      </c>
      <c r="AC124" s="83">
        <f t="shared" si="8"/>
        <v>0</v>
      </c>
      <c r="AD124" s="78"/>
      <c r="AE124" s="83">
        <f t="shared" si="9"/>
        <v>0</v>
      </c>
      <c r="AF124" s="78"/>
      <c r="AG124" s="78"/>
      <c r="AH124" s="78"/>
    </row>
    <row r="125" ht="15.75" customHeight="1">
      <c r="A125" s="78"/>
      <c r="B125" s="79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80" t="str">
        <f t="shared" si="1"/>
        <v/>
      </c>
      <c r="Q125" s="80" t="str">
        <f t="shared" si="2"/>
        <v/>
      </c>
      <c r="R125" s="81"/>
      <c r="S125" s="81"/>
      <c r="T125" s="81"/>
      <c r="U125" s="81"/>
      <c r="V125" s="81"/>
      <c r="W125" s="81"/>
      <c r="X125" s="82" t="str">
        <f t="shared" si="3"/>
        <v/>
      </c>
      <c r="Y125" s="82" t="str">
        <f t="shared" si="4"/>
        <v/>
      </c>
      <c r="Z125" s="82" t="str">
        <f t="shared" si="5"/>
        <v/>
      </c>
      <c r="AA125" s="82" t="str">
        <f t="shared" si="6"/>
        <v/>
      </c>
      <c r="AB125" s="83">
        <f t="shared" si="7"/>
        <v>0</v>
      </c>
      <c r="AC125" s="83">
        <f t="shared" si="8"/>
        <v>0</v>
      </c>
      <c r="AD125" s="78"/>
      <c r="AE125" s="83">
        <f t="shared" si="9"/>
        <v>0</v>
      </c>
      <c r="AF125" s="78"/>
      <c r="AG125" s="78"/>
      <c r="AH125" s="78"/>
    </row>
    <row r="126" ht="15.75" customHeight="1">
      <c r="A126" s="78"/>
      <c r="B126" s="79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80" t="str">
        <f t="shared" si="1"/>
        <v/>
      </c>
      <c r="Q126" s="80" t="str">
        <f t="shared" si="2"/>
        <v/>
      </c>
      <c r="R126" s="81"/>
      <c r="S126" s="81"/>
      <c r="T126" s="81"/>
      <c r="U126" s="81"/>
      <c r="V126" s="81"/>
      <c r="W126" s="81"/>
      <c r="X126" s="82" t="str">
        <f t="shared" si="3"/>
        <v/>
      </c>
      <c r="Y126" s="82" t="str">
        <f t="shared" si="4"/>
        <v/>
      </c>
      <c r="Z126" s="82" t="str">
        <f t="shared" si="5"/>
        <v/>
      </c>
      <c r="AA126" s="82" t="str">
        <f t="shared" si="6"/>
        <v/>
      </c>
      <c r="AB126" s="83">
        <f t="shared" si="7"/>
        <v>0</v>
      </c>
      <c r="AC126" s="83">
        <f t="shared" si="8"/>
        <v>0</v>
      </c>
      <c r="AD126" s="78"/>
      <c r="AE126" s="83">
        <f t="shared" si="9"/>
        <v>0</v>
      </c>
      <c r="AF126" s="78"/>
      <c r="AG126" s="78"/>
      <c r="AH126" s="78"/>
    </row>
    <row r="127" ht="15.75" customHeight="1">
      <c r="A127" s="78"/>
      <c r="B127" s="79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80" t="str">
        <f t="shared" si="1"/>
        <v/>
      </c>
      <c r="Q127" s="80" t="str">
        <f t="shared" si="2"/>
        <v/>
      </c>
      <c r="R127" s="81"/>
      <c r="S127" s="81"/>
      <c r="T127" s="81"/>
      <c r="U127" s="81"/>
      <c r="V127" s="81"/>
      <c r="W127" s="81"/>
      <c r="X127" s="82" t="str">
        <f t="shared" si="3"/>
        <v/>
      </c>
      <c r="Y127" s="82" t="str">
        <f t="shared" si="4"/>
        <v/>
      </c>
      <c r="Z127" s="82" t="str">
        <f t="shared" si="5"/>
        <v/>
      </c>
      <c r="AA127" s="82" t="str">
        <f t="shared" si="6"/>
        <v/>
      </c>
      <c r="AB127" s="83">
        <f t="shared" si="7"/>
        <v>0</v>
      </c>
      <c r="AC127" s="83">
        <f t="shared" si="8"/>
        <v>0</v>
      </c>
      <c r="AD127" s="78"/>
      <c r="AE127" s="83">
        <f t="shared" si="9"/>
        <v>0</v>
      </c>
      <c r="AF127" s="78"/>
      <c r="AG127" s="78"/>
      <c r="AH127" s="78"/>
    </row>
    <row r="128" ht="15.75" customHeight="1">
      <c r="A128" s="78"/>
      <c r="B128" s="79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80" t="str">
        <f t="shared" si="1"/>
        <v/>
      </c>
      <c r="Q128" s="80" t="str">
        <f t="shared" si="2"/>
        <v/>
      </c>
      <c r="R128" s="81"/>
      <c r="S128" s="81"/>
      <c r="T128" s="81"/>
      <c r="U128" s="81"/>
      <c r="V128" s="81"/>
      <c r="W128" s="81"/>
      <c r="X128" s="82" t="str">
        <f t="shared" si="3"/>
        <v/>
      </c>
      <c r="Y128" s="82" t="str">
        <f t="shared" si="4"/>
        <v/>
      </c>
      <c r="Z128" s="82" t="str">
        <f t="shared" si="5"/>
        <v/>
      </c>
      <c r="AA128" s="82" t="str">
        <f t="shared" si="6"/>
        <v/>
      </c>
      <c r="AB128" s="83">
        <f t="shared" si="7"/>
        <v>0</v>
      </c>
      <c r="AC128" s="83">
        <f t="shared" si="8"/>
        <v>0</v>
      </c>
      <c r="AD128" s="78"/>
      <c r="AE128" s="83">
        <f t="shared" si="9"/>
        <v>0</v>
      </c>
      <c r="AF128" s="78"/>
      <c r="AG128" s="78"/>
      <c r="AH128" s="78"/>
    </row>
    <row r="129" ht="15.75" customHeight="1">
      <c r="A129" s="78"/>
      <c r="B129" s="79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80" t="str">
        <f t="shared" si="1"/>
        <v/>
      </c>
      <c r="Q129" s="80" t="str">
        <f t="shared" si="2"/>
        <v/>
      </c>
      <c r="R129" s="81"/>
      <c r="S129" s="81"/>
      <c r="T129" s="81"/>
      <c r="U129" s="81"/>
      <c r="V129" s="81"/>
      <c r="W129" s="81"/>
      <c r="X129" s="82" t="str">
        <f t="shared" si="3"/>
        <v/>
      </c>
      <c r="Y129" s="82" t="str">
        <f t="shared" si="4"/>
        <v/>
      </c>
      <c r="Z129" s="82" t="str">
        <f t="shared" si="5"/>
        <v/>
      </c>
      <c r="AA129" s="82" t="str">
        <f t="shared" si="6"/>
        <v/>
      </c>
      <c r="AB129" s="83">
        <f t="shared" si="7"/>
        <v>0</v>
      </c>
      <c r="AC129" s="83">
        <f t="shared" si="8"/>
        <v>0</v>
      </c>
      <c r="AD129" s="78"/>
      <c r="AE129" s="83">
        <f t="shared" si="9"/>
        <v>0</v>
      </c>
      <c r="AF129" s="78"/>
      <c r="AG129" s="78"/>
      <c r="AH129" s="78"/>
    </row>
    <row r="130" ht="15.75" customHeight="1">
      <c r="A130" s="78"/>
      <c r="B130" s="79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80" t="str">
        <f t="shared" si="1"/>
        <v/>
      </c>
      <c r="Q130" s="80" t="str">
        <f t="shared" si="2"/>
        <v/>
      </c>
      <c r="R130" s="81"/>
      <c r="S130" s="81"/>
      <c r="T130" s="81"/>
      <c r="U130" s="81"/>
      <c r="V130" s="81"/>
      <c r="W130" s="81"/>
      <c r="X130" s="82" t="str">
        <f t="shared" si="3"/>
        <v/>
      </c>
      <c r="Y130" s="82" t="str">
        <f t="shared" si="4"/>
        <v/>
      </c>
      <c r="Z130" s="82" t="str">
        <f t="shared" si="5"/>
        <v/>
      </c>
      <c r="AA130" s="82" t="str">
        <f t="shared" si="6"/>
        <v/>
      </c>
      <c r="AB130" s="83">
        <f t="shared" si="7"/>
        <v>0</v>
      </c>
      <c r="AC130" s="83">
        <f t="shared" si="8"/>
        <v>0</v>
      </c>
      <c r="AD130" s="78"/>
      <c r="AE130" s="83">
        <f t="shared" si="9"/>
        <v>0</v>
      </c>
      <c r="AF130" s="78"/>
      <c r="AG130" s="78"/>
      <c r="AH130" s="78"/>
    </row>
    <row r="131" ht="15.75" customHeight="1">
      <c r="A131" s="78"/>
      <c r="B131" s="79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80" t="str">
        <f t="shared" si="1"/>
        <v/>
      </c>
      <c r="Q131" s="80" t="str">
        <f t="shared" si="2"/>
        <v/>
      </c>
      <c r="R131" s="81"/>
      <c r="S131" s="81"/>
      <c r="T131" s="81"/>
      <c r="U131" s="81"/>
      <c r="V131" s="81"/>
      <c r="W131" s="81"/>
      <c r="X131" s="82" t="str">
        <f t="shared" si="3"/>
        <v/>
      </c>
      <c r="Y131" s="82" t="str">
        <f t="shared" si="4"/>
        <v/>
      </c>
      <c r="Z131" s="82" t="str">
        <f t="shared" si="5"/>
        <v/>
      </c>
      <c r="AA131" s="82" t="str">
        <f t="shared" si="6"/>
        <v/>
      </c>
      <c r="AB131" s="83">
        <f t="shared" si="7"/>
        <v>0</v>
      </c>
      <c r="AC131" s="83">
        <f t="shared" si="8"/>
        <v>0</v>
      </c>
      <c r="AD131" s="78"/>
      <c r="AE131" s="83">
        <f t="shared" si="9"/>
        <v>0</v>
      </c>
      <c r="AF131" s="78"/>
      <c r="AG131" s="78"/>
      <c r="AH131" s="78"/>
    </row>
    <row r="132" ht="15.75" customHeight="1">
      <c r="A132" s="78"/>
      <c r="B132" s="79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80" t="str">
        <f t="shared" si="1"/>
        <v/>
      </c>
      <c r="Q132" s="80" t="str">
        <f t="shared" si="2"/>
        <v/>
      </c>
      <c r="R132" s="81"/>
      <c r="S132" s="81"/>
      <c r="T132" s="81"/>
      <c r="U132" s="81"/>
      <c r="V132" s="81"/>
      <c r="W132" s="81"/>
      <c r="X132" s="82" t="str">
        <f t="shared" si="3"/>
        <v/>
      </c>
      <c r="Y132" s="82" t="str">
        <f t="shared" si="4"/>
        <v/>
      </c>
      <c r="Z132" s="82" t="str">
        <f t="shared" si="5"/>
        <v/>
      </c>
      <c r="AA132" s="82" t="str">
        <f t="shared" si="6"/>
        <v/>
      </c>
      <c r="AB132" s="83">
        <f t="shared" si="7"/>
        <v>0</v>
      </c>
      <c r="AC132" s="83">
        <f t="shared" si="8"/>
        <v>0</v>
      </c>
      <c r="AD132" s="78"/>
      <c r="AE132" s="83">
        <f t="shared" si="9"/>
        <v>0</v>
      </c>
      <c r="AF132" s="78"/>
      <c r="AG132" s="78"/>
      <c r="AH132" s="78"/>
    </row>
    <row r="133" ht="15.75" customHeight="1">
      <c r="A133" s="78"/>
      <c r="B133" s="79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80" t="str">
        <f t="shared" si="1"/>
        <v/>
      </c>
      <c r="Q133" s="80" t="str">
        <f t="shared" si="2"/>
        <v/>
      </c>
      <c r="R133" s="81"/>
      <c r="S133" s="81"/>
      <c r="T133" s="81"/>
      <c r="U133" s="81"/>
      <c r="V133" s="81"/>
      <c r="W133" s="81"/>
      <c r="X133" s="82" t="str">
        <f t="shared" si="3"/>
        <v/>
      </c>
      <c r="Y133" s="82" t="str">
        <f t="shared" si="4"/>
        <v/>
      </c>
      <c r="Z133" s="82" t="str">
        <f t="shared" si="5"/>
        <v/>
      </c>
      <c r="AA133" s="82" t="str">
        <f t="shared" si="6"/>
        <v/>
      </c>
      <c r="AB133" s="83">
        <f t="shared" si="7"/>
        <v>0</v>
      </c>
      <c r="AC133" s="83">
        <f t="shared" si="8"/>
        <v>0</v>
      </c>
      <c r="AD133" s="78"/>
      <c r="AE133" s="83">
        <f t="shared" si="9"/>
        <v>0</v>
      </c>
      <c r="AF133" s="78"/>
      <c r="AG133" s="78"/>
      <c r="AH133" s="78"/>
    </row>
    <row r="134" ht="15.75" customHeight="1">
      <c r="A134" s="78"/>
      <c r="B134" s="79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80" t="str">
        <f t="shared" si="1"/>
        <v/>
      </c>
      <c r="Q134" s="80" t="str">
        <f t="shared" si="2"/>
        <v/>
      </c>
      <c r="R134" s="81"/>
      <c r="S134" s="81"/>
      <c r="T134" s="81"/>
      <c r="U134" s="81"/>
      <c r="V134" s="81"/>
      <c r="W134" s="81"/>
      <c r="X134" s="82" t="str">
        <f t="shared" si="3"/>
        <v/>
      </c>
      <c r="Y134" s="82" t="str">
        <f t="shared" si="4"/>
        <v/>
      </c>
      <c r="Z134" s="82" t="str">
        <f t="shared" si="5"/>
        <v/>
      </c>
      <c r="AA134" s="82" t="str">
        <f t="shared" si="6"/>
        <v/>
      </c>
      <c r="AB134" s="83">
        <f t="shared" si="7"/>
        <v>0</v>
      </c>
      <c r="AC134" s="83">
        <f t="shared" si="8"/>
        <v>0</v>
      </c>
      <c r="AD134" s="78"/>
      <c r="AE134" s="83">
        <f t="shared" si="9"/>
        <v>0</v>
      </c>
      <c r="AF134" s="78"/>
      <c r="AG134" s="78"/>
      <c r="AH134" s="78"/>
    </row>
    <row r="135" ht="15.75" customHeight="1">
      <c r="A135" s="78"/>
      <c r="B135" s="79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80" t="str">
        <f t="shared" si="1"/>
        <v/>
      </c>
      <c r="Q135" s="80" t="str">
        <f t="shared" si="2"/>
        <v/>
      </c>
      <c r="R135" s="81"/>
      <c r="S135" s="81"/>
      <c r="T135" s="81"/>
      <c r="U135" s="81"/>
      <c r="V135" s="81"/>
      <c r="W135" s="81"/>
      <c r="X135" s="82" t="str">
        <f t="shared" si="3"/>
        <v/>
      </c>
      <c r="Y135" s="82" t="str">
        <f t="shared" si="4"/>
        <v/>
      </c>
      <c r="Z135" s="82" t="str">
        <f t="shared" si="5"/>
        <v/>
      </c>
      <c r="AA135" s="82" t="str">
        <f t="shared" si="6"/>
        <v/>
      </c>
      <c r="AB135" s="83">
        <f t="shared" si="7"/>
        <v>0</v>
      </c>
      <c r="AC135" s="83">
        <f t="shared" si="8"/>
        <v>0</v>
      </c>
      <c r="AD135" s="78"/>
      <c r="AE135" s="83">
        <f t="shared" si="9"/>
        <v>0</v>
      </c>
      <c r="AF135" s="78"/>
      <c r="AG135" s="78"/>
      <c r="AH135" s="78"/>
    </row>
    <row r="136" ht="15.75" customHeight="1">
      <c r="A136" s="78"/>
      <c r="B136" s="79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80" t="str">
        <f t="shared" si="1"/>
        <v/>
      </c>
      <c r="Q136" s="80" t="str">
        <f t="shared" si="2"/>
        <v/>
      </c>
      <c r="R136" s="81"/>
      <c r="S136" s="81"/>
      <c r="T136" s="81"/>
      <c r="U136" s="81"/>
      <c r="V136" s="81"/>
      <c r="W136" s="81"/>
      <c r="X136" s="82" t="str">
        <f t="shared" si="3"/>
        <v/>
      </c>
      <c r="Y136" s="82" t="str">
        <f t="shared" si="4"/>
        <v/>
      </c>
      <c r="Z136" s="82" t="str">
        <f t="shared" si="5"/>
        <v/>
      </c>
      <c r="AA136" s="82" t="str">
        <f t="shared" si="6"/>
        <v/>
      </c>
      <c r="AB136" s="83">
        <f t="shared" si="7"/>
        <v>0</v>
      </c>
      <c r="AC136" s="83">
        <f t="shared" si="8"/>
        <v>0</v>
      </c>
      <c r="AD136" s="78"/>
      <c r="AE136" s="83">
        <f t="shared" si="9"/>
        <v>0</v>
      </c>
      <c r="AF136" s="78"/>
      <c r="AG136" s="78"/>
      <c r="AH136" s="78"/>
    </row>
    <row r="137" ht="15.75" customHeight="1">
      <c r="A137" s="78"/>
      <c r="B137" s="79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80" t="str">
        <f t="shared" si="1"/>
        <v/>
      </c>
      <c r="Q137" s="80" t="str">
        <f t="shared" si="2"/>
        <v/>
      </c>
      <c r="R137" s="81"/>
      <c r="S137" s="81"/>
      <c r="T137" s="81"/>
      <c r="U137" s="81"/>
      <c r="V137" s="81"/>
      <c r="W137" s="81"/>
      <c r="X137" s="82" t="str">
        <f t="shared" si="3"/>
        <v/>
      </c>
      <c r="Y137" s="82" t="str">
        <f t="shared" si="4"/>
        <v/>
      </c>
      <c r="Z137" s="82" t="str">
        <f t="shared" si="5"/>
        <v/>
      </c>
      <c r="AA137" s="82" t="str">
        <f t="shared" si="6"/>
        <v/>
      </c>
      <c r="AB137" s="83">
        <f t="shared" si="7"/>
        <v>0</v>
      </c>
      <c r="AC137" s="83">
        <f t="shared" si="8"/>
        <v>0</v>
      </c>
      <c r="AD137" s="78"/>
      <c r="AE137" s="83">
        <f t="shared" si="9"/>
        <v>0</v>
      </c>
      <c r="AF137" s="78"/>
      <c r="AG137" s="78"/>
      <c r="AH137" s="78"/>
    </row>
    <row r="138" ht="15.75" customHeight="1">
      <c r="A138" s="78"/>
      <c r="B138" s="79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80" t="str">
        <f t="shared" si="1"/>
        <v/>
      </c>
      <c r="Q138" s="80" t="str">
        <f t="shared" si="2"/>
        <v/>
      </c>
      <c r="R138" s="81"/>
      <c r="S138" s="81"/>
      <c r="T138" s="81"/>
      <c r="U138" s="81"/>
      <c r="V138" s="81"/>
      <c r="W138" s="81"/>
      <c r="X138" s="82" t="str">
        <f t="shared" si="3"/>
        <v/>
      </c>
      <c r="Y138" s="82" t="str">
        <f t="shared" si="4"/>
        <v/>
      </c>
      <c r="Z138" s="82" t="str">
        <f t="shared" si="5"/>
        <v/>
      </c>
      <c r="AA138" s="82" t="str">
        <f t="shared" si="6"/>
        <v/>
      </c>
      <c r="AB138" s="83">
        <f t="shared" si="7"/>
        <v>0</v>
      </c>
      <c r="AC138" s="83">
        <f t="shared" si="8"/>
        <v>0</v>
      </c>
      <c r="AD138" s="78"/>
      <c r="AE138" s="83">
        <f t="shared" si="9"/>
        <v>0</v>
      </c>
      <c r="AF138" s="78"/>
      <c r="AG138" s="78"/>
      <c r="AH138" s="78"/>
    </row>
    <row r="139" ht="15.75" customHeight="1">
      <c r="A139" s="78"/>
      <c r="B139" s="79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80" t="str">
        <f t="shared" si="1"/>
        <v/>
      </c>
      <c r="Q139" s="80" t="str">
        <f t="shared" si="2"/>
        <v/>
      </c>
      <c r="R139" s="81"/>
      <c r="S139" s="81"/>
      <c r="T139" s="81"/>
      <c r="U139" s="81"/>
      <c r="V139" s="81"/>
      <c r="W139" s="81"/>
      <c r="X139" s="82" t="str">
        <f t="shared" si="3"/>
        <v/>
      </c>
      <c r="Y139" s="82" t="str">
        <f t="shared" si="4"/>
        <v/>
      </c>
      <c r="Z139" s="82" t="str">
        <f t="shared" si="5"/>
        <v/>
      </c>
      <c r="AA139" s="82" t="str">
        <f t="shared" si="6"/>
        <v/>
      </c>
      <c r="AB139" s="83">
        <f t="shared" si="7"/>
        <v>0</v>
      </c>
      <c r="AC139" s="83">
        <f t="shared" si="8"/>
        <v>0</v>
      </c>
      <c r="AD139" s="78"/>
      <c r="AE139" s="83">
        <f t="shared" si="9"/>
        <v>0</v>
      </c>
      <c r="AF139" s="78"/>
      <c r="AG139" s="78"/>
      <c r="AH139" s="78"/>
    </row>
    <row r="140" ht="15.75" customHeight="1">
      <c r="A140" s="78"/>
      <c r="B140" s="79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80" t="str">
        <f t="shared" si="1"/>
        <v/>
      </c>
      <c r="Q140" s="80" t="str">
        <f t="shared" si="2"/>
        <v/>
      </c>
      <c r="R140" s="81"/>
      <c r="S140" s="81"/>
      <c r="T140" s="81"/>
      <c r="U140" s="81"/>
      <c r="V140" s="81"/>
      <c r="W140" s="81"/>
      <c r="X140" s="82" t="str">
        <f t="shared" si="3"/>
        <v/>
      </c>
      <c r="Y140" s="82" t="str">
        <f t="shared" si="4"/>
        <v/>
      </c>
      <c r="Z140" s="82" t="str">
        <f t="shared" si="5"/>
        <v/>
      </c>
      <c r="AA140" s="82" t="str">
        <f t="shared" si="6"/>
        <v/>
      </c>
      <c r="AB140" s="83">
        <f t="shared" si="7"/>
        <v>0</v>
      </c>
      <c r="AC140" s="83">
        <f t="shared" si="8"/>
        <v>0</v>
      </c>
      <c r="AD140" s="78"/>
      <c r="AE140" s="83">
        <f t="shared" si="9"/>
        <v>0</v>
      </c>
      <c r="AF140" s="78"/>
      <c r="AG140" s="78"/>
      <c r="AH140" s="78"/>
    </row>
    <row r="141" ht="15.75" customHeight="1">
      <c r="A141" s="78"/>
      <c r="B141" s="79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80" t="str">
        <f t="shared" si="1"/>
        <v/>
      </c>
      <c r="Q141" s="80" t="str">
        <f t="shared" si="2"/>
        <v/>
      </c>
      <c r="R141" s="81"/>
      <c r="S141" s="81"/>
      <c r="T141" s="81"/>
      <c r="U141" s="81"/>
      <c r="V141" s="81"/>
      <c r="W141" s="81"/>
      <c r="X141" s="82" t="str">
        <f t="shared" si="3"/>
        <v/>
      </c>
      <c r="Y141" s="82" t="str">
        <f t="shared" si="4"/>
        <v/>
      </c>
      <c r="Z141" s="82" t="str">
        <f t="shared" si="5"/>
        <v/>
      </c>
      <c r="AA141" s="82" t="str">
        <f t="shared" si="6"/>
        <v/>
      </c>
      <c r="AB141" s="83">
        <f t="shared" si="7"/>
        <v>0</v>
      </c>
      <c r="AC141" s="83">
        <f t="shared" si="8"/>
        <v>0</v>
      </c>
      <c r="AD141" s="78"/>
      <c r="AE141" s="83">
        <f t="shared" si="9"/>
        <v>0</v>
      </c>
      <c r="AF141" s="78"/>
      <c r="AG141" s="78"/>
      <c r="AH141" s="78"/>
    </row>
    <row r="142" ht="15.75" customHeight="1">
      <c r="A142" s="78"/>
      <c r="B142" s="79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80" t="str">
        <f t="shared" si="1"/>
        <v/>
      </c>
      <c r="Q142" s="80" t="str">
        <f t="shared" si="2"/>
        <v/>
      </c>
      <c r="R142" s="81"/>
      <c r="S142" s="81"/>
      <c r="T142" s="81"/>
      <c r="U142" s="81"/>
      <c r="V142" s="81"/>
      <c r="W142" s="81"/>
      <c r="X142" s="82" t="str">
        <f t="shared" si="3"/>
        <v/>
      </c>
      <c r="Y142" s="82" t="str">
        <f t="shared" si="4"/>
        <v/>
      </c>
      <c r="Z142" s="82" t="str">
        <f t="shared" si="5"/>
        <v/>
      </c>
      <c r="AA142" s="82" t="str">
        <f t="shared" si="6"/>
        <v/>
      </c>
      <c r="AB142" s="83">
        <f t="shared" si="7"/>
        <v>0</v>
      </c>
      <c r="AC142" s="83">
        <f t="shared" si="8"/>
        <v>0</v>
      </c>
      <c r="AD142" s="78"/>
      <c r="AE142" s="83">
        <f t="shared" si="9"/>
        <v>0</v>
      </c>
      <c r="AF142" s="78"/>
      <c r="AG142" s="78"/>
      <c r="AH142" s="78"/>
    </row>
    <row r="143" ht="15.75" customHeight="1">
      <c r="A143" s="78"/>
      <c r="B143" s="79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80" t="str">
        <f t="shared" si="1"/>
        <v/>
      </c>
      <c r="Q143" s="80" t="str">
        <f t="shared" si="2"/>
        <v/>
      </c>
      <c r="R143" s="81"/>
      <c r="S143" s="81"/>
      <c r="T143" s="81"/>
      <c r="U143" s="81"/>
      <c r="V143" s="81"/>
      <c r="W143" s="81"/>
      <c r="X143" s="82" t="str">
        <f t="shared" si="3"/>
        <v/>
      </c>
      <c r="Y143" s="82" t="str">
        <f t="shared" si="4"/>
        <v/>
      </c>
      <c r="Z143" s="82" t="str">
        <f t="shared" si="5"/>
        <v/>
      </c>
      <c r="AA143" s="82" t="str">
        <f t="shared" si="6"/>
        <v/>
      </c>
      <c r="AB143" s="83">
        <f t="shared" si="7"/>
        <v>0</v>
      </c>
      <c r="AC143" s="83">
        <f t="shared" si="8"/>
        <v>0</v>
      </c>
      <c r="AD143" s="78"/>
      <c r="AE143" s="83">
        <f t="shared" si="9"/>
        <v>0</v>
      </c>
      <c r="AF143" s="78"/>
      <c r="AG143" s="78"/>
      <c r="AH143" s="78"/>
    </row>
    <row r="144" ht="15.75" customHeight="1">
      <c r="A144" s="78"/>
      <c r="B144" s="79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80" t="str">
        <f t="shared" si="1"/>
        <v/>
      </c>
      <c r="Q144" s="80" t="str">
        <f t="shared" si="2"/>
        <v/>
      </c>
      <c r="R144" s="81"/>
      <c r="S144" s="81"/>
      <c r="T144" s="81"/>
      <c r="U144" s="81"/>
      <c r="V144" s="81"/>
      <c r="W144" s="81"/>
      <c r="X144" s="82" t="str">
        <f t="shared" si="3"/>
        <v/>
      </c>
      <c r="Y144" s="82" t="str">
        <f t="shared" si="4"/>
        <v/>
      </c>
      <c r="Z144" s="82" t="str">
        <f t="shared" si="5"/>
        <v/>
      </c>
      <c r="AA144" s="82" t="str">
        <f t="shared" si="6"/>
        <v/>
      </c>
      <c r="AB144" s="83">
        <f t="shared" si="7"/>
        <v>0</v>
      </c>
      <c r="AC144" s="83">
        <f t="shared" si="8"/>
        <v>0</v>
      </c>
      <c r="AD144" s="78"/>
      <c r="AE144" s="83">
        <f t="shared" si="9"/>
        <v>0</v>
      </c>
      <c r="AF144" s="78"/>
      <c r="AG144" s="78"/>
      <c r="AH144" s="78"/>
    </row>
    <row r="145" ht="15.75" customHeight="1">
      <c r="A145" s="78"/>
      <c r="B145" s="79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80" t="str">
        <f t="shared" si="1"/>
        <v/>
      </c>
      <c r="Q145" s="80" t="str">
        <f t="shared" si="2"/>
        <v/>
      </c>
      <c r="R145" s="81"/>
      <c r="S145" s="81"/>
      <c r="T145" s="81"/>
      <c r="U145" s="81"/>
      <c r="V145" s="81"/>
      <c r="W145" s="81"/>
      <c r="X145" s="82" t="str">
        <f t="shared" si="3"/>
        <v/>
      </c>
      <c r="Y145" s="82" t="str">
        <f t="shared" si="4"/>
        <v/>
      </c>
      <c r="Z145" s="82" t="str">
        <f t="shared" si="5"/>
        <v/>
      </c>
      <c r="AA145" s="82" t="str">
        <f t="shared" si="6"/>
        <v/>
      </c>
      <c r="AB145" s="83">
        <f t="shared" si="7"/>
        <v>0</v>
      </c>
      <c r="AC145" s="83">
        <f t="shared" si="8"/>
        <v>0</v>
      </c>
      <c r="AD145" s="78"/>
      <c r="AE145" s="83">
        <f t="shared" si="9"/>
        <v>0</v>
      </c>
      <c r="AF145" s="78"/>
      <c r="AG145" s="78"/>
      <c r="AH145" s="78"/>
    </row>
    <row r="146" ht="15.75" customHeight="1">
      <c r="A146" s="78"/>
      <c r="B146" s="79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80" t="str">
        <f t="shared" si="1"/>
        <v/>
      </c>
      <c r="Q146" s="80" t="str">
        <f t="shared" si="2"/>
        <v/>
      </c>
      <c r="R146" s="81"/>
      <c r="S146" s="81"/>
      <c r="T146" s="81"/>
      <c r="U146" s="81"/>
      <c r="V146" s="81"/>
      <c r="W146" s="81"/>
      <c r="X146" s="82" t="str">
        <f t="shared" si="3"/>
        <v/>
      </c>
      <c r="Y146" s="82" t="str">
        <f t="shared" si="4"/>
        <v/>
      </c>
      <c r="Z146" s="82" t="str">
        <f t="shared" si="5"/>
        <v/>
      </c>
      <c r="AA146" s="82" t="str">
        <f t="shared" si="6"/>
        <v/>
      </c>
      <c r="AB146" s="83">
        <f t="shared" si="7"/>
        <v>0</v>
      </c>
      <c r="AC146" s="83">
        <f t="shared" si="8"/>
        <v>0</v>
      </c>
      <c r="AD146" s="78"/>
      <c r="AE146" s="83">
        <f t="shared" si="9"/>
        <v>0</v>
      </c>
      <c r="AF146" s="78"/>
      <c r="AG146" s="78"/>
      <c r="AH146" s="78"/>
    </row>
    <row r="147" ht="15.75" customHeight="1">
      <c r="A147" s="78"/>
      <c r="B147" s="79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80" t="str">
        <f t="shared" si="1"/>
        <v/>
      </c>
      <c r="Q147" s="80" t="str">
        <f t="shared" si="2"/>
        <v/>
      </c>
      <c r="R147" s="81"/>
      <c r="S147" s="81"/>
      <c r="T147" s="81"/>
      <c r="U147" s="81"/>
      <c r="V147" s="81"/>
      <c r="W147" s="81"/>
      <c r="X147" s="82" t="str">
        <f t="shared" si="3"/>
        <v/>
      </c>
      <c r="Y147" s="82" t="str">
        <f t="shared" si="4"/>
        <v/>
      </c>
      <c r="Z147" s="82" t="str">
        <f t="shared" si="5"/>
        <v/>
      </c>
      <c r="AA147" s="82" t="str">
        <f t="shared" si="6"/>
        <v/>
      </c>
      <c r="AB147" s="83">
        <f t="shared" si="7"/>
        <v>0</v>
      </c>
      <c r="AC147" s="83">
        <f t="shared" si="8"/>
        <v>0</v>
      </c>
      <c r="AD147" s="78"/>
      <c r="AE147" s="83">
        <f t="shared" si="9"/>
        <v>0</v>
      </c>
      <c r="AF147" s="78"/>
      <c r="AG147" s="78"/>
      <c r="AH147" s="78"/>
    </row>
    <row r="148" ht="15.75" customHeight="1">
      <c r="A148" s="78"/>
      <c r="B148" s="79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80" t="str">
        <f t="shared" si="1"/>
        <v/>
      </c>
      <c r="Q148" s="80" t="str">
        <f t="shared" si="2"/>
        <v/>
      </c>
      <c r="R148" s="81"/>
      <c r="S148" s="81"/>
      <c r="T148" s="81"/>
      <c r="U148" s="81"/>
      <c r="V148" s="81"/>
      <c r="W148" s="81"/>
      <c r="X148" s="82" t="str">
        <f t="shared" si="3"/>
        <v/>
      </c>
      <c r="Y148" s="82" t="str">
        <f t="shared" si="4"/>
        <v/>
      </c>
      <c r="Z148" s="82" t="str">
        <f t="shared" si="5"/>
        <v/>
      </c>
      <c r="AA148" s="82" t="str">
        <f t="shared" si="6"/>
        <v/>
      </c>
      <c r="AB148" s="83">
        <f t="shared" si="7"/>
        <v>0</v>
      </c>
      <c r="AC148" s="83">
        <f t="shared" si="8"/>
        <v>0</v>
      </c>
      <c r="AD148" s="78"/>
      <c r="AE148" s="83">
        <f t="shared" si="9"/>
        <v>0</v>
      </c>
      <c r="AF148" s="78"/>
      <c r="AG148" s="78"/>
      <c r="AH148" s="78"/>
    </row>
    <row r="149" ht="15.75" customHeight="1">
      <c r="A149" s="78"/>
      <c r="B149" s="79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80" t="str">
        <f t="shared" si="1"/>
        <v/>
      </c>
      <c r="Q149" s="80" t="str">
        <f t="shared" si="2"/>
        <v/>
      </c>
      <c r="R149" s="81"/>
      <c r="S149" s="81"/>
      <c r="T149" s="81"/>
      <c r="U149" s="81"/>
      <c r="V149" s="81"/>
      <c r="W149" s="81"/>
      <c r="X149" s="82" t="str">
        <f t="shared" si="3"/>
        <v/>
      </c>
      <c r="Y149" s="82" t="str">
        <f t="shared" si="4"/>
        <v/>
      </c>
      <c r="Z149" s="82" t="str">
        <f t="shared" si="5"/>
        <v/>
      </c>
      <c r="AA149" s="82" t="str">
        <f t="shared" si="6"/>
        <v/>
      </c>
      <c r="AB149" s="83">
        <f t="shared" si="7"/>
        <v>0</v>
      </c>
      <c r="AC149" s="83">
        <f t="shared" si="8"/>
        <v>0</v>
      </c>
      <c r="AD149" s="78"/>
      <c r="AE149" s="83">
        <f t="shared" si="9"/>
        <v>0</v>
      </c>
      <c r="AF149" s="78"/>
      <c r="AG149" s="78"/>
      <c r="AH149" s="78"/>
    </row>
    <row r="150" ht="15.75" customHeight="1">
      <c r="A150" s="78"/>
      <c r="B150" s="79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80" t="str">
        <f t="shared" si="1"/>
        <v/>
      </c>
      <c r="Q150" s="80" t="str">
        <f t="shared" si="2"/>
        <v/>
      </c>
      <c r="R150" s="81"/>
      <c r="S150" s="81"/>
      <c r="T150" s="81"/>
      <c r="U150" s="81"/>
      <c r="V150" s="81"/>
      <c r="W150" s="81"/>
      <c r="X150" s="82" t="str">
        <f t="shared" si="3"/>
        <v/>
      </c>
      <c r="Y150" s="82" t="str">
        <f t="shared" si="4"/>
        <v/>
      </c>
      <c r="Z150" s="82" t="str">
        <f t="shared" si="5"/>
        <v/>
      </c>
      <c r="AA150" s="82" t="str">
        <f t="shared" si="6"/>
        <v/>
      </c>
      <c r="AB150" s="83">
        <f t="shared" si="7"/>
        <v>0</v>
      </c>
      <c r="AC150" s="83">
        <f t="shared" si="8"/>
        <v>0</v>
      </c>
      <c r="AD150" s="78"/>
      <c r="AE150" s="83">
        <f t="shared" si="9"/>
        <v>0</v>
      </c>
      <c r="AF150" s="78"/>
      <c r="AG150" s="78"/>
      <c r="AH150" s="78"/>
    </row>
    <row r="151" ht="15.75" customHeight="1">
      <c r="A151" s="78"/>
      <c r="B151" s="79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80" t="str">
        <f t="shared" si="1"/>
        <v/>
      </c>
      <c r="Q151" s="80" t="str">
        <f t="shared" si="2"/>
        <v/>
      </c>
      <c r="R151" s="81"/>
      <c r="S151" s="81"/>
      <c r="T151" s="81"/>
      <c r="U151" s="81"/>
      <c r="V151" s="81"/>
      <c r="W151" s="81"/>
      <c r="X151" s="82" t="str">
        <f t="shared" si="3"/>
        <v/>
      </c>
      <c r="Y151" s="82" t="str">
        <f t="shared" si="4"/>
        <v/>
      </c>
      <c r="Z151" s="82" t="str">
        <f t="shared" si="5"/>
        <v/>
      </c>
      <c r="AA151" s="82" t="str">
        <f t="shared" si="6"/>
        <v/>
      </c>
      <c r="AB151" s="83">
        <f t="shared" si="7"/>
        <v>0</v>
      </c>
      <c r="AC151" s="83">
        <f t="shared" si="8"/>
        <v>0</v>
      </c>
      <c r="AD151" s="78"/>
      <c r="AE151" s="83">
        <f t="shared" si="9"/>
        <v>0</v>
      </c>
      <c r="AF151" s="78"/>
      <c r="AG151" s="78"/>
      <c r="AH151" s="78"/>
    </row>
    <row r="152" ht="15.75" customHeight="1">
      <c r="A152" s="78"/>
      <c r="B152" s="79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80" t="str">
        <f t="shared" si="1"/>
        <v/>
      </c>
      <c r="Q152" s="80" t="str">
        <f t="shared" si="2"/>
        <v/>
      </c>
      <c r="R152" s="81"/>
      <c r="S152" s="81"/>
      <c r="T152" s="81"/>
      <c r="U152" s="81"/>
      <c r="V152" s="81"/>
      <c r="W152" s="81"/>
      <c r="X152" s="82" t="str">
        <f t="shared" si="3"/>
        <v/>
      </c>
      <c r="Y152" s="82" t="str">
        <f t="shared" si="4"/>
        <v/>
      </c>
      <c r="Z152" s="82" t="str">
        <f t="shared" si="5"/>
        <v/>
      </c>
      <c r="AA152" s="82" t="str">
        <f t="shared" si="6"/>
        <v/>
      </c>
      <c r="AB152" s="83">
        <f t="shared" si="7"/>
        <v>0</v>
      </c>
      <c r="AC152" s="83">
        <f t="shared" si="8"/>
        <v>0</v>
      </c>
      <c r="AD152" s="78"/>
      <c r="AE152" s="83">
        <f t="shared" si="9"/>
        <v>0</v>
      </c>
      <c r="AF152" s="78"/>
      <c r="AG152" s="78"/>
      <c r="AH152" s="78"/>
    </row>
    <row r="153" ht="15.75" customHeight="1">
      <c r="A153" s="78"/>
      <c r="B153" s="79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80" t="str">
        <f t="shared" si="1"/>
        <v/>
      </c>
      <c r="Q153" s="80" t="str">
        <f t="shared" si="2"/>
        <v/>
      </c>
      <c r="R153" s="81"/>
      <c r="S153" s="81"/>
      <c r="T153" s="81"/>
      <c r="U153" s="81"/>
      <c r="V153" s="81"/>
      <c r="W153" s="81"/>
      <c r="X153" s="82" t="str">
        <f t="shared" si="3"/>
        <v/>
      </c>
      <c r="Y153" s="82" t="str">
        <f t="shared" si="4"/>
        <v/>
      </c>
      <c r="Z153" s="82" t="str">
        <f t="shared" si="5"/>
        <v/>
      </c>
      <c r="AA153" s="82" t="str">
        <f t="shared" si="6"/>
        <v/>
      </c>
      <c r="AB153" s="83">
        <f t="shared" si="7"/>
        <v>0</v>
      </c>
      <c r="AC153" s="83">
        <f t="shared" si="8"/>
        <v>0</v>
      </c>
      <c r="AD153" s="78"/>
      <c r="AE153" s="83">
        <f t="shared" si="9"/>
        <v>0</v>
      </c>
      <c r="AF153" s="78"/>
      <c r="AG153" s="78"/>
      <c r="AH153" s="78"/>
    </row>
    <row r="154" ht="15.75" customHeight="1">
      <c r="A154" s="78"/>
      <c r="B154" s="79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80" t="str">
        <f t="shared" si="1"/>
        <v/>
      </c>
      <c r="Q154" s="80" t="str">
        <f t="shared" si="2"/>
        <v/>
      </c>
      <c r="R154" s="81"/>
      <c r="S154" s="81"/>
      <c r="T154" s="81"/>
      <c r="U154" s="81"/>
      <c r="V154" s="81"/>
      <c r="W154" s="81"/>
      <c r="X154" s="82" t="str">
        <f t="shared" si="3"/>
        <v/>
      </c>
      <c r="Y154" s="82" t="str">
        <f t="shared" si="4"/>
        <v/>
      </c>
      <c r="Z154" s="82" t="str">
        <f t="shared" si="5"/>
        <v/>
      </c>
      <c r="AA154" s="82" t="str">
        <f t="shared" si="6"/>
        <v/>
      </c>
      <c r="AB154" s="83">
        <f t="shared" si="7"/>
        <v>0</v>
      </c>
      <c r="AC154" s="83">
        <f t="shared" si="8"/>
        <v>0</v>
      </c>
      <c r="AD154" s="78"/>
      <c r="AE154" s="83">
        <f t="shared" si="9"/>
        <v>0</v>
      </c>
      <c r="AF154" s="78"/>
      <c r="AG154" s="78"/>
      <c r="AH154" s="78"/>
    </row>
    <row r="155" ht="15.75" customHeight="1">
      <c r="A155" s="78"/>
      <c r="B155" s="79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80" t="str">
        <f t="shared" si="1"/>
        <v/>
      </c>
      <c r="Q155" s="80" t="str">
        <f t="shared" si="2"/>
        <v/>
      </c>
      <c r="R155" s="81"/>
      <c r="S155" s="81"/>
      <c r="T155" s="81"/>
      <c r="U155" s="81"/>
      <c r="V155" s="81"/>
      <c r="W155" s="81"/>
      <c r="X155" s="82" t="str">
        <f t="shared" si="3"/>
        <v/>
      </c>
      <c r="Y155" s="82" t="str">
        <f t="shared" si="4"/>
        <v/>
      </c>
      <c r="Z155" s="82" t="str">
        <f t="shared" si="5"/>
        <v/>
      </c>
      <c r="AA155" s="82" t="str">
        <f t="shared" si="6"/>
        <v/>
      </c>
      <c r="AB155" s="83">
        <f t="shared" si="7"/>
        <v>0</v>
      </c>
      <c r="AC155" s="83">
        <f t="shared" si="8"/>
        <v>0</v>
      </c>
      <c r="AD155" s="78"/>
      <c r="AE155" s="83">
        <f t="shared" si="9"/>
        <v>0</v>
      </c>
      <c r="AF155" s="78"/>
      <c r="AG155" s="78"/>
      <c r="AH155" s="78"/>
    </row>
    <row r="156" ht="15.75" customHeight="1">
      <c r="A156" s="78"/>
      <c r="B156" s="79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80" t="str">
        <f t="shared" si="1"/>
        <v/>
      </c>
      <c r="Q156" s="80" t="str">
        <f t="shared" si="2"/>
        <v/>
      </c>
      <c r="R156" s="81"/>
      <c r="S156" s="81"/>
      <c r="T156" s="81"/>
      <c r="U156" s="81"/>
      <c r="V156" s="81"/>
      <c r="W156" s="81"/>
      <c r="X156" s="82" t="str">
        <f t="shared" si="3"/>
        <v/>
      </c>
      <c r="Y156" s="82" t="str">
        <f t="shared" si="4"/>
        <v/>
      </c>
      <c r="Z156" s="82" t="str">
        <f t="shared" si="5"/>
        <v/>
      </c>
      <c r="AA156" s="82" t="str">
        <f t="shared" si="6"/>
        <v/>
      </c>
      <c r="AB156" s="83">
        <f t="shared" si="7"/>
        <v>0</v>
      </c>
      <c r="AC156" s="83">
        <f t="shared" si="8"/>
        <v>0</v>
      </c>
      <c r="AD156" s="78"/>
      <c r="AE156" s="83">
        <f t="shared" si="9"/>
        <v>0</v>
      </c>
      <c r="AF156" s="78"/>
      <c r="AG156" s="78"/>
      <c r="AH156" s="78"/>
    </row>
    <row r="157" ht="15.75" customHeight="1">
      <c r="A157" s="78"/>
      <c r="B157" s="79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80" t="str">
        <f t="shared" si="1"/>
        <v/>
      </c>
      <c r="Q157" s="80" t="str">
        <f t="shared" si="2"/>
        <v/>
      </c>
      <c r="R157" s="81"/>
      <c r="S157" s="81"/>
      <c r="T157" s="81"/>
      <c r="U157" s="81"/>
      <c r="V157" s="81"/>
      <c r="W157" s="81"/>
      <c r="X157" s="82" t="str">
        <f t="shared" si="3"/>
        <v/>
      </c>
      <c r="Y157" s="82" t="str">
        <f t="shared" si="4"/>
        <v/>
      </c>
      <c r="Z157" s="82" t="str">
        <f t="shared" si="5"/>
        <v/>
      </c>
      <c r="AA157" s="82" t="str">
        <f t="shared" si="6"/>
        <v/>
      </c>
      <c r="AB157" s="83">
        <f t="shared" si="7"/>
        <v>0</v>
      </c>
      <c r="AC157" s="83">
        <f t="shared" si="8"/>
        <v>0</v>
      </c>
      <c r="AD157" s="78"/>
      <c r="AE157" s="83">
        <f t="shared" si="9"/>
        <v>0</v>
      </c>
      <c r="AF157" s="78"/>
      <c r="AG157" s="78"/>
      <c r="AH157" s="78"/>
    </row>
    <row r="158" ht="15.75" customHeight="1">
      <c r="A158" s="78"/>
      <c r="B158" s="79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80" t="str">
        <f t="shared" si="1"/>
        <v/>
      </c>
      <c r="Q158" s="80" t="str">
        <f t="shared" si="2"/>
        <v/>
      </c>
      <c r="R158" s="81"/>
      <c r="S158" s="81"/>
      <c r="T158" s="81"/>
      <c r="U158" s="81"/>
      <c r="V158" s="81"/>
      <c r="W158" s="81"/>
      <c r="X158" s="82" t="str">
        <f t="shared" si="3"/>
        <v/>
      </c>
      <c r="Y158" s="82" t="str">
        <f t="shared" si="4"/>
        <v/>
      </c>
      <c r="Z158" s="82" t="str">
        <f t="shared" si="5"/>
        <v/>
      </c>
      <c r="AA158" s="82" t="str">
        <f t="shared" si="6"/>
        <v/>
      </c>
      <c r="AB158" s="83">
        <f t="shared" si="7"/>
        <v>0</v>
      </c>
      <c r="AC158" s="83">
        <f t="shared" si="8"/>
        <v>0</v>
      </c>
      <c r="AD158" s="78"/>
      <c r="AE158" s="83">
        <f t="shared" si="9"/>
        <v>0</v>
      </c>
      <c r="AF158" s="78"/>
      <c r="AG158" s="78"/>
      <c r="AH158" s="78"/>
    </row>
    <row r="159" ht="15.75" customHeight="1">
      <c r="A159" s="78"/>
      <c r="B159" s="79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80" t="str">
        <f t="shared" si="1"/>
        <v/>
      </c>
      <c r="Q159" s="80" t="str">
        <f t="shared" si="2"/>
        <v/>
      </c>
      <c r="R159" s="81"/>
      <c r="S159" s="81"/>
      <c r="T159" s="81"/>
      <c r="U159" s="81"/>
      <c r="V159" s="81"/>
      <c r="W159" s="81"/>
      <c r="X159" s="82" t="str">
        <f t="shared" si="3"/>
        <v/>
      </c>
      <c r="Y159" s="82" t="str">
        <f t="shared" si="4"/>
        <v/>
      </c>
      <c r="Z159" s="82" t="str">
        <f t="shared" si="5"/>
        <v/>
      </c>
      <c r="AA159" s="82" t="str">
        <f t="shared" si="6"/>
        <v/>
      </c>
      <c r="AB159" s="83">
        <f t="shared" si="7"/>
        <v>0</v>
      </c>
      <c r="AC159" s="83">
        <f t="shared" si="8"/>
        <v>0</v>
      </c>
      <c r="AD159" s="78"/>
      <c r="AE159" s="83">
        <f t="shared" si="9"/>
        <v>0</v>
      </c>
      <c r="AF159" s="78"/>
      <c r="AG159" s="78"/>
      <c r="AH159" s="78"/>
    </row>
    <row r="160" ht="15.75" customHeight="1">
      <c r="A160" s="78"/>
      <c r="B160" s="79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80" t="str">
        <f t="shared" si="1"/>
        <v/>
      </c>
      <c r="Q160" s="80" t="str">
        <f t="shared" si="2"/>
        <v/>
      </c>
      <c r="R160" s="81"/>
      <c r="S160" s="81"/>
      <c r="T160" s="81"/>
      <c r="U160" s="81"/>
      <c r="V160" s="81"/>
      <c r="W160" s="81"/>
      <c r="X160" s="82" t="str">
        <f t="shared" si="3"/>
        <v/>
      </c>
      <c r="Y160" s="82" t="str">
        <f t="shared" si="4"/>
        <v/>
      </c>
      <c r="Z160" s="82" t="str">
        <f t="shared" si="5"/>
        <v/>
      </c>
      <c r="AA160" s="82" t="str">
        <f t="shared" si="6"/>
        <v/>
      </c>
      <c r="AB160" s="83">
        <f t="shared" si="7"/>
        <v>0</v>
      </c>
      <c r="AC160" s="83">
        <f t="shared" si="8"/>
        <v>0</v>
      </c>
      <c r="AD160" s="78"/>
      <c r="AE160" s="83">
        <f t="shared" si="9"/>
        <v>0</v>
      </c>
      <c r="AF160" s="78"/>
      <c r="AG160" s="78"/>
      <c r="AH160" s="78"/>
    </row>
    <row r="161" ht="15.75" customHeight="1">
      <c r="A161" s="78"/>
      <c r="B161" s="79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80" t="str">
        <f t="shared" si="1"/>
        <v/>
      </c>
      <c r="Q161" s="80" t="str">
        <f t="shared" si="2"/>
        <v/>
      </c>
      <c r="R161" s="81"/>
      <c r="S161" s="81"/>
      <c r="T161" s="81"/>
      <c r="U161" s="81"/>
      <c r="V161" s="81"/>
      <c r="W161" s="81"/>
      <c r="X161" s="82" t="str">
        <f t="shared" si="3"/>
        <v/>
      </c>
      <c r="Y161" s="82" t="str">
        <f t="shared" si="4"/>
        <v/>
      </c>
      <c r="Z161" s="82" t="str">
        <f t="shared" si="5"/>
        <v/>
      </c>
      <c r="AA161" s="82" t="str">
        <f t="shared" si="6"/>
        <v/>
      </c>
      <c r="AB161" s="83">
        <f t="shared" si="7"/>
        <v>0</v>
      </c>
      <c r="AC161" s="83">
        <f t="shared" si="8"/>
        <v>0</v>
      </c>
      <c r="AD161" s="78"/>
      <c r="AE161" s="83">
        <f t="shared" si="9"/>
        <v>0</v>
      </c>
      <c r="AF161" s="78"/>
      <c r="AG161" s="78"/>
      <c r="AH161" s="78"/>
    </row>
    <row r="162" ht="15.75" customHeight="1">
      <c r="A162" s="78"/>
      <c r="B162" s="79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80" t="str">
        <f t="shared" si="1"/>
        <v/>
      </c>
      <c r="Q162" s="80" t="str">
        <f t="shared" si="2"/>
        <v/>
      </c>
      <c r="R162" s="81"/>
      <c r="S162" s="81"/>
      <c r="T162" s="81"/>
      <c r="U162" s="81"/>
      <c r="V162" s="81"/>
      <c r="W162" s="81"/>
      <c r="X162" s="82" t="str">
        <f t="shared" si="3"/>
        <v/>
      </c>
      <c r="Y162" s="82" t="str">
        <f t="shared" si="4"/>
        <v/>
      </c>
      <c r="Z162" s="82" t="str">
        <f t="shared" si="5"/>
        <v/>
      </c>
      <c r="AA162" s="82" t="str">
        <f t="shared" si="6"/>
        <v/>
      </c>
      <c r="AB162" s="83">
        <f t="shared" si="7"/>
        <v>0</v>
      </c>
      <c r="AC162" s="83">
        <f t="shared" si="8"/>
        <v>0</v>
      </c>
      <c r="AD162" s="78"/>
      <c r="AE162" s="83">
        <f t="shared" si="9"/>
        <v>0</v>
      </c>
      <c r="AF162" s="78"/>
      <c r="AG162" s="78"/>
      <c r="AH162" s="78"/>
    </row>
    <row r="163" ht="15.75" customHeight="1">
      <c r="A163" s="78"/>
      <c r="B163" s="79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80" t="str">
        <f t="shared" si="1"/>
        <v/>
      </c>
      <c r="Q163" s="80" t="str">
        <f t="shared" si="2"/>
        <v/>
      </c>
      <c r="R163" s="81"/>
      <c r="S163" s="81"/>
      <c r="T163" s="81"/>
      <c r="U163" s="81"/>
      <c r="V163" s="81"/>
      <c r="W163" s="81"/>
      <c r="X163" s="82" t="str">
        <f t="shared" si="3"/>
        <v/>
      </c>
      <c r="Y163" s="82" t="str">
        <f t="shared" si="4"/>
        <v/>
      </c>
      <c r="Z163" s="82" t="str">
        <f t="shared" si="5"/>
        <v/>
      </c>
      <c r="AA163" s="82" t="str">
        <f t="shared" si="6"/>
        <v/>
      </c>
      <c r="AB163" s="83">
        <f t="shared" si="7"/>
        <v>0</v>
      </c>
      <c r="AC163" s="83">
        <f t="shared" si="8"/>
        <v>0</v>
      </c>
      <c r="AD163" s="78"/>
      <c r="AE163" s="83">
        <f t="shared" si="9"/>
        <v>0</v>
      </c>
      <c r="AF163" s="78"/>
      <c r="AG163" s="78"/>
      <c r="AH163" s="78"/>
    </row>
    <row r="164" ht="15.75" customHeight="1">
      <c r="A164" s="78"/>
      <c r="B164" s="79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80" t="str">
        <f t="shared" si="1"/>
        <v/>
      </c>
      <c r="Q164" s="80" t="str">
        <f t="shared" si="2"/>
        <v/>
      </c>
      <c r="R164" s="81"/>
      <c r="S164" s="81"/>
      <c r="T164" s="81"/>
      <c r="U164" s="81"/>
      <c r="V164" s="81"/>
      <c r="W164" s="81"/>
      <c r="X164" s="82" t="str">
        <f t="shared" si="3"/>
        <v/>
      </c>
      <c r="Y164" s="82" t="str">
        <f t="shared" si="4"/>
        <v/>
      </c>
      <c r="Z164" s="82" t="str">
        <f t="shared" si="5"/>
        <v/>
      </c>
      <c r="AA164" s="82" t="str">
        <f t="shared" si="6"/>
        <v/>
      </c>
      <c r="AB164" s="83">
        <f t="shared" si="7"/>
        <v>0</v>
      </c>
      <c r="AC164" s="83">
        <f t="shared" si="8"/>
        <v>0</v>
      </c>
      <c r="AD164" s="78"/>
      <c r="AE164" s="83">
        <f t="shared" si="9"/>
        <v>0</v>
      </c>
      <c r="AF164" s="78"/>
      <c r="AG164" s="78"/>
      <c r="AH164" s="78"/>
    </row>
    <row r="165" ht="15.75" customHeight="1">
      <c r="A165" s="78"/>
      <c r="B165" s="79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80" t="str">
        <f t="shared" si="1"/>
        <v/>
      </c>
      <c r="Q165" s="80" t="str">
        <f t="shared" si="2"/>
        <v/>
      </c>
      <c r="R165" s="81"/>
      <c r="S165" s="81"/>
      <c r="T165" s="81"/>
      <c r="U165" s="81"/>
      <c r="V165" s="81"/>
      <c r="W165" s="81"/>
      <c r="X165" s="82" t="str">
        <f t="shared" si="3"/>
        <v/>
      </c>
      <c r="Y165" s="82" t="str">
        <f t="shared" si="4"/>
        <v/>
      </c>
      <c r="Z165" s="82" t="str">
        <f t="shared" si="5"/>
        <v/>
      </c>
      <c r="AA165" s="82" t="str">
        <f t="shared" si="6"/>
        <v/>
      </c>
      <c r="AB165" s="83">
        <f t="shared" si="7"/>
        <v>0</v>
      </c>
      <c r="AC165" s="83">
        <f t="shared" si="8"/>
        <v>0</v>
      </c>
      <c r="AD165" s="78"/>
      <c r="AE165" s="83">
        <f t="shared" si="9"/>
        <v>0</v>
      </c>
      <c r="AF165" s="78"/>
      <c r="AG165" s="78"/>
      <c r="AH165" s="78"/>
    </row>
    <row r="166" ht="15.75" customHeight="1">
      <c r="A166" s="78"/>
      <c r="B166" s="79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80" t="str">
        <f t="shared" si="1"/>
        <v/>
      </c>
      <c r="Q166" s="80" t="str">
        <f t="shared" si="2"/>
        <v/>
      </c>
      <c r="R166" s="81"/>
      <c r="S166" s="81"/>
      <c r="T166" s="81"/>
      <c r="U166" s="81"/>
      <c r="V166" s="81"/>
      <c r="W166" s="81"/>
      <c r="X166" s="82" t="str">
        <f t="shared" si="3"/>
        <v/>
      </c>
      <c r="Y166" s="82" t="str">
        <f t="shared" si="4"/>
        <v/>
      </c>
      <c r="Z166" s="82" t="str">
        <f t="shared" si="5"/>
        <v/>
      </c>
      <c r="AA166" s="82" t="str">
        <f t="shared" si="6"/>
        <v/>
      </c>
      <c r="AB166" s="83">
        <f t="shared" si="7"/>
        <v>0</v>
      </c>
      <c r="AC166" s="83">
        <f t="shared" si="8"/>
        <v>0</v>
      </c>
      <c r="AD166" s="78"/>
      <c r="AE166" s="83">
        <f t="shared" si="9"/>
        <v>0</v>
      </c>
      <c r="AF166" s="78"/>
      <c r="AG166" s="78"/>
      <c r="AH166" s="78"/>
    </row>
    <row r="167" ht="15.75" customHeight="1">
      <c r="A167" s="78"/>
      <c r="B167" s="79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80" t="str">
        <f t="shared" si="1"/>
        <v/>
      </c>
      <c r="Q167" s="80" t="str">
        <f t="shared" si="2"/>
        <v/>
      </c>
      <c r="R167" s="81"/>
      <c r="S167" s="81"/>
      <c r="T167" s="81"/>
      <c r="U167" s="81"/>
      <c r="V167" s="81"/>
      <c r="W167" s="81"/>
      <c r="X167" s="82" t="str">
        <f t="shared" si="3"/>
        <v/>
      </c>
      <c r="Y167" s="82" t="str">
        <f t="shared" si="4"/>
        <v/>
      </c>
      <c r="Z167" s="82" t="str">
        <f t="shared" si="5"/>
        <v/>
      </c>
      <c r="AA167" s="82" t="str">
        <f t="shared" si="6"/>
        <v/>
      </c>
      <c r="AB167" s="83">
        <f t="shared" si="7"/>
        <v>0</v>
      </c>
      <c r="AC167" s="83">
        <f t="shared" si="8"/>
        <v>0</v>
      </c>
      <c r="AD167" s="78"/>
      <c r="AE167" s="83">
        <f t="shared" si="9"/>
        <v>0</v>
      </c>
      <c r="AF167" s="78"/>
      <c r="AG167" s="78"/>
      <c r="AH167" s="78"/>
    </row>
    <row r="168" ht="15.75" customHeight="1">
      <c r="A168" s="78"/>
      <c r="B168" s="79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80" t="str">
        <f t="shared" si="1"/>
        <v/>
      </c>
      <c r="Q168" s="80" t="str">
        <f t="shared" si="2"/>
        <v/>
      </c>
      <c r="R168" s="81"/>
      <c r="S168" s="81"/>
      <c r="T168" s="81"/>
      <c r="U168" s="81"/>
      <c r="V168" s="81"/>
      <c r="W168" s="81"/>
      <c r="X168" s="82" t="str">
        <f t="shared" si="3"/>
        <v/>
      </c>
      <c r="Y168" s="82" t="str">
        <f t="shared" si="4"/>
        <v/>
      </c>
      <c r="Z168" s="82" t="str">
        <f t="shared" si="5"/>
        <v/>
      </c>
      <c r="AA168" s="82" t="str">
        <f t="shared" si="6"/>
        <v/>
      </c>
      <c r="AB168" s="83">
        <f t="shared" si="7"/>
        <v>0</v>
      </c>
      <c r="AC168" s="83">
        <f t="shared" si="8"/>
        <v>0</v>
      </c>
      <c r="AD168" s="78"/>
      <c r="AE168" s="83">
        <f t="shared" si="9"/>
        <v>0</v>
      </c>
      <c r="AF168" s="78"/>
      <c r="AG168" s="78"/>
      <c r="AH168" s="78"/>
    </row>
    <row r="169" ht="15.75" customHeight="1">
      <c r="A169" s="78"/>
      <c r="B169" s="79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80" t="str">
        <f t="shared" si="1"/>
        <v/>
      </c>
      <c r="Q169" s="80" t="str">
        <f t="shared" si="2"/>
        <v/>
      </c>
      <c r="R169" s="81"/>
      <c r="S169" s="81"/>
      <c r="T169" s="81"/>
      <c r="U169" s="81"/>
      <c r="V169" s="81"/>
      <c r="W169" s="81"/>
      <c r="X169" s="82" t="str">
        <f t="shared" si="3"/>
        <v/>
      </c>
      <c r="Y169" s="82" t="str">
        <f t="shared" si="4"/>
        <v/>
      </c>
      <c r="Z169" s="82" t="str">
        <f t="shared" si="5"/>
        <v/>
      </c>
      <c r="AA169" s="82" t="str">
        <f t="shared" si="6"/>
        <v/>
      </c>
      <c r="AB169" s="83">
        <f t="shared" si="7"/>
        <v>0</v>
      </c>
      <c r="AC169" s="83">
        <f t="shared" si="8"/>
        <v>0</v>
      </c>
      <c r="AD169" s="78"/>
      <c r="AE169" s="83">
        <f t="shared" si="9"/>
        <v>0</v>
      </c>
      <c r="AF169" s="78"/>
      <c r="AG169" s="78"/>
      <c r="AH169" s="78"/>
    </row>
    <row r="170" ht="15.75" customHeight="1">
      <c r="A170" s="78"/>
      <c r="B170" s="79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80" t="str">
        <f t="shared" si="1"/>
        <v/>
      </c>
      <c r="Q170" s="80" t="str">
        <f t="shared" si="2"/>
        <v/>
      </c>
      <c r="R170" s="81"/>
      <c r="S170" s="81"/>
      <c r="T170" s="81"/>
      <c r="U170" s="81"/>
      <c r="V170" s="81"/>
      <c r="W170" s="81"/>
      <c r="X170" s="82" t="str">
        <f t="shared" si="3"/>
        <v/>
      </c>
      <c r="Y170" s="82" t="str">
        <f t="shared" si="4"/>
        <v/>
      </c>
      <c r="Z170" s="82" t="str">
        <f t="shared" si="5"/>
        <v/>
      </c>
      <c r="AA170" s="82" t="str">
        <f t="shared" si="6"/>
        <v/>
      </c>
      <c r="AB170" s="83">
        <f t="shared" si="7"/>
        <v>0</v>
      </c>
      <c r="AC170" s="83">
        <f t="shared" si="8"/>
        <v>0</v>
      </c>
      <c r="AD170" s="78"/>
      <c r="AE170" s="83">
        <f t="shared" si="9"/>
        <v>0</v>
      </c>
      <c r="AF170" s="78"/>
      <c r="AG170" s="78"/>
      <c r="AH170" s="78"/>
    </row>
    <row r="171" ht="15.75" customHeight="1">
      <c r="A171" s="78"/>
      <c r="B171" s="79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80" t="str">
        <f t="shared" si="1"/>
        <v/>
      </c>
      <c r="Q171" s="80" t="str">
        <f t="shared" si="2"/>
        <v/>
      </c>
      <c r="R171" s="81"/>
      <c r="S171" s="81"/>
      <c r="T171" s="81"/>
      <c r="U171" s="81"/>
      <c r="V171" s="81"/>
      <c r="W171" s="81"/>
      <c r="X171" s="82" t="str">
        <f t="shared" si="3"/>
        <v/>
      </c>
      <c r="Y171" s="82" t="str">
        <f t="shared" si="4"/>
        <v/>
      </c>
      <c r="Z171" s="82" t="str">
        <f t="shared" si="5"/>
        <v/>
      </c>
      <c r="AA171" s="82" t="str">
        <f t="shared" si="6"/>
        <v/>
      </c>
      <c r="AB171" s="83">
        <f t="shared" si="7"/>
        <v>0</v>
      </c>
      <c r="AC171" s="83">
        <f t="shared" si="8"/>
        <v>0</v>
      </c>
      <c r="AD171" s="78"/>
      <c r="AE171" s="83">
        <f t="shared" si="9"/>
        <v>0</v>
      </c>
      <c r="AF171" s="78"/>
      <c r="AG171" s="78"/>
      <c r="AH171" s="78"/>
    </row>
    <row r="172" ht="15.75" customHeight="1">
      <c r="A172" s="78"/>
      <c r="B172" s="79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80" t="str">
        <f t="shared" si="1"/>
        <v/>
      </c>
      <c r="Q172" s="80" t="str">
        <f t="shared" si="2"/>
        <v/>
      </c>
      <c r="R172" s="81"/>
      <c r="S172" s="81"/>
      <c r="T172" s="81"/>
      <c r="U172" s="81"/>
      <c r="V172" s="81"/>
      <c r="W172" s="81"/>
      <c r="X172" s="82" t="str">
        <f t="shared" si="3"/>
        <v/>
      </c>
      <c r="Y172" s="82" t="str">
        <f t="shared" si="4"/>
        <v/>
      </c>
      <c r="Z172" s="82" t="str">
        <f t="shared" si="5"/>
        <v/>
      </c>
      <c r="AA172" s="82" t="str">
        <f t="shared" si="6"/>
        <v/>
      </c>
      <c r="AB172" s="83">
        <f t="shared" si="7"/>
        <v>0</v>
      </c>
      <c r="AC172" s="83">
        <f t="shared" si="8"/>
        <v>0</v>
      </c>
      <c r="AD172" s="78"/>
      <c r="AE172" s="83">
        <f t="shared" si="9"/>
        <v>0</v>
      </c>
      <c r="AF172" s="78"/>
      <c r="AG172" s="78"/>
      <c r="AH172" s="78"/>
    </row>
    <row r="173" ht="15.75" customHeight="1">
      <c r="A173" s="78"/>
      <c r="B173" s="79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80" t="str">
        <f t="shared" si="1"/>
        <v/>
      </c>
      <c r="Q173" s="80" t="str">
        <f t="shared" si="2"/>
        <v/>
      </c>
      <c r="R173" s="81"/>
      <c r="S173" s="81"/>
      <c r="T173" s="81"/>
      <c r="U173" s="81"/>
      <c r="V173" s="81"/>
      <c r="W173" s="81"/>
      <c r="X173" s="82" t="str">
        <f t="shared" si="3"/>
        <v/>
      </c>
      <c r="Y173" s="82" t="str">
        <f t="shared" si="4"/>
        <v/>
      </c>
      <c r="Z173" s="82" t="str">
        <f t="shared" si="5"/>
        <v/>
      </c>
      <c r="AA173" s="82" t="str">
        <f t="shared" si="6"/>
        <v/>
      </c>
      <c r="AB173" s="83">
        <f t="shared" si="7"/>
        <v>0</v>
      </c>
      <c r="AC173" s="83">
        <f t="shared" si="8"/>
        <v>0</v>
      </c>
      <c r="AD173" s="78"/>
      <c r="AE173" s="83">
        <f t="shared" si="9"/>
        <v>0</v>
      </c>
      <c r="AF173" s="78"/>
      <c r="AG173" s="78"/>
      <c r="AH173" s="78"/>
    </row>
    <row r="174" ht="15.75" customHeight="1">
      <c r="A174" s="78"/>
      <c r="B174" s="79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80" t="str">
        <f t="shared" si="1"/>
        <v/>
      </c>
      <c r="Q174" s="80" t="str">
        <f t="shared" si="2"/>
        <v/>
      </c>
      <c r="R174" s="81"/>
      <c r="S174" s="81"/>
      <c r="T174" s="81"/>
      <c r="U174" s="81"/>
      <c r="V174" s="81"/>
      <c r="W174" s="81"/>
      <c r="X174" s="82" t="str">
        <f t="shared" si="3"/>
        <v/>
      </c>
      <c r="Y174" s="82" t="str">
        <f t="shared" si="4"/>
        <v/>
      </c>
      <c r="Z174" s="82" t="str">
        <f t="shared" si="5"/>
        <v/>
      </c>
      <c r="AA174" s="82" t="str">
        <f t="shared" si="6"/>
        <v/>
      </c>
      <c r="AB174" s="83">
        <f t="shared" si="7"/>
        <v>0</v>
      </c>
      <c r="AC174" s="83">
        <f t="shared" si="8"/>
        <v>0</v>
      </c>
      <c r="AD174" s="78"/>
      <c r="AE174" s="83">
        <f t="shared" si="9"/>
        <v>0</v>
      </c>
      <c r="AF174" s="78"/>
      <c r="AG174" s="78"/>
      <c r="AH174" s="78"/>
    </row>
    <row r="175" ht="15.75" customHeight="1">
      <c r="A175" s="78"/>
      <c r="B175" s="79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80" t="str">
        <f t="shared" si="1"/>
        <v/>
      </c>
      <c r="Q175" s="80" t="str">
        <f t="shared" si="2"/>
        <v/>
      </c>
      <c r="R175" s="81"/>
      <c r="S175" s="81"/>
      <c r="T175" s="81"/>
      <c r="U175" s="81"/>
      <c r="V175" s="81"/>
      <c r="W175" s="81"/>
      <c r="X175" s="82" t="str">
        <f t="shared" si="3"/>
        <v/>
      </c>
      <c r="Y175" s="82" t="str">
        <f t="shared" si="4"/>
        <v/>
      </c>
      <c r="Z175" s="82" t="str">
        <f t="shared" si="5"/>
        <v/>
      </c>
      <c r="AA175" s="82" t="str">
        <f t="shared" si="6"/>
        <v/>
      </c>
      <c r="AB175" s="83">
        <f t="shared" si="7"/>
        <v>0</v>
      </c>
      <c r="AC175" s="83">
        <f t="shared" si="8"/>
        <v>0</v>
      </c>
      <c r="AD175" s="78"/>
      <c r="AE175" s="83">
        <f t="shared" si="9"/>
        <v>0</v>
      </c>
      <c r="AF175" s="78"/>
      <c r="AG175" s="78"/>
      <c r="AH175" s="78"/>
    </row>
    <row r="176" ht="15.75" customHeight="1">
      <c r="A176" s="78"/>
      <c r="B176" s="79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80" t="str">
        <f t="shared" si="1"/>
        <v/>
      </c>
      <c r="Q176" s="80" t="str">
        <f t="shared" si="2"/>
        <v/>
      </c>
      <c r="R176" s="81"/>
      <c r="S176" s="81"/>
      <c r="T176" s="81"/>
      <c r="U176" s="81"/>
      <c r="V176" s="81"/>
      <c r="W176" s="81"/>
      <c r="X176" s="82" t="str">
        <f t="shared" si="3"/>
        <v/>
      </c>
      <c r="Y176" s="82" t="str">
        <f t="shared" si="4"/>
        <v/>
      </c>
      <c r="Z176" s="82" t="str">
        <f t="shared" si="5"/>
        <v/>
      </c>
      <c r="AA176" s="82" t="str">
        <f t="shared" si="6"/>
        <v/>
      </c>
      <c r="AB176" s="83">
        <f t="shared" si="7"/>
        <v>0</v>
      </c>
      <c r="AC176" s="83">
        <f t="shared" si="8"/>
        <v>0</v>
      </c>
      <c r="AD176" s="78"/>
      <c r="AE176" s="83">
        <f t="shared" si="9"/>
        <v>0</v>
      </c>
      <c r="AF176" s="78"/>
      <c r="AG176" s="78"/>
      <c r="AH176" s="78"/>
    </row>
    <row r="177" ht="15.75" customHeight="1">
      <c r="A177" s="78"/>
      <c r="B177" s="79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80" t="str">
        <f t="shared" si="1"/>
        <v/>
      </c>
      <c r="Q177" s="80" t="str">
        <f t="shared" si="2"/>
        <v/>
      </c>
      <c r="R177" s="81"/>
      <c r="S177" s="81"/>
      <c r="T177" s="81"/>
      <c r="U177" s="81"/>
      <c r="V177" s="81"/>
      <c r="W177" s="81"/>
      <c r="X177" s="82" t="str">
        <f t="shared" si="3"/>
        <v/>
      </c>
      <c r="Y177" s="82" t="str">
        <f t="shared" si="4"/>
        <v/>
      </c>
      <c r="Z177" s="82" t="str">
        <f t="shared" si="5"/>
        <v/>
      </c>
      <c r="AA177" s="82" t="str">
        <f t="shared" si="6"/>
        <v/>
      </c>
      <c r="AB177" s="83">
        <f t="shared" si="7"/>
        <v>0</v>
      </c>
      <c r="AC177" s="83">
        <f t="shared" si="8"/>
        <v>0</v>
      </c>
      <c r="AD177" s="78"/>
      <c r="AE177" s="83">
        <f t="shared" si="9"/>
        <v>0</v>
      </c>
      <c r="AF177" s="78"/>
      <c r="AG177" s="78"/>
      <c r="AH177" s="78"/>
    </row>
    <row r="178" ht="15.75" customHeight="1">
      <c r="A178" s="78"/>
      <c r="B178" s="79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80" t="str">
        <f t="shared" si="1"/>
        <v/>
      </c>
      <c r="Q178" s="80" t="str">
        <f t="shared" si="2"/>
        <v/>
      </c>
      <c r="R178" s="81"/>
      <c r="S178" s="81"/>
      <c r="T178" s="81"/>
      <c r="U178" s="81"/>
      <c r="V178" s="81"/>
      <c r="W178" s="81"/>
      <c r="X178" s="82" t="str">
        <f t="shared" si="3"/>
        <v/>
      </c>
      <c r="Y178" s="82" t="str">
        <f t="shared" si="4"/>
        <v/>
      </c>
      <c r="Z178" s="82" t="str">
        <f t="shared" si="5"/>
        <v/>
      </c>
      <c r="AA178" s="82" t="str">
        <f t="shared" si="6"/>
        <v/>
      </c>
      <c r="AB178" s="83">
        <f t="shared" si="7"/>
        <v>0</v>
      </c>
      <c r="AC178" s="83">
        <f t="shared" si="8"/>
        <v>0</v>
      </c>
      <c r="AD178" s="78"/>
      <c r="AE178" s="83">
        <f t="shared" si="9"/>
        <v>0</v>
      </c>
      <c r="AF178" s="78"/>
      <c r="AG178" s="78"/>
      <c r="AH178" s="78"/>
    </row>
    <row r="179" ht="15.75" customHeight="1">
      <c r="A179" s="78"/>
      <c r="B179" s="79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80" t="str">
        <f t="shared" si="1"/>
        <v/>
      </c>
      <c r="Q179" s="80" t="str">
        <f t="shared" si="2"/>
        <v/>
      </c>
      <c r="R179" s="81"/>
      <c r="S179" s="81"/>
      <c r="T179" s="81"/>
      <c r="U179" s="81"/>
      <c r="V179" s="81"/>
      <c r="W179" s="81"/>
      <c r="X179" s="82" t="str">
        <f t="shared" si="3"/>
        <v/>
      </c>
      <c r="Y179" s="82" t="str">
        <f t="shared" si="4"/>
        <v/>
      </c>
      <c r="Z179" s="82" t="str">
        <f t="shared" si="5"/>
        <v/>
      </c>
      <c r="AA179" s="82" t="str">
        <f t="shared" si="6"/>
        <v/>
      </c>
      <c r="AB179" s="83">
        <f t="shared" si="7"/>
        <v>0</v>
      </c>
      <c r="AC179" s="83">
        <f t="shared" si="8"/>
        <v>0</v>
      </c>
      <c r="AD179" s="78"/>
      <c r="AE179" s="83">
        <f t="shared" si="9"/>
        <v>0</v>
      </c>
      <c r="AF179" s="78"/>
      <c r="AG179" s="78"/>
      <c r="AH179" s="78"/>
    </row>
    <row r="180" ht="15.75" customHeight="1">
      <c r="A180" s="78"/>
      <c r="B180" s="79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80" t="str">
        <f t="shared" si="1"/>
        <v/>
      </c>
      <c r="Q180" s="80" t="str">
        <f t="shared" si="2"/>
        <v/>
      </c>
      <c r="R180" s="81"/>
      <c r="S180" s="81"/>
      <c r="T180" s="81"/>
      <c r="U180" s="81"/>
      <c r="V180" s="81"/>
      <c r="W180" s="81"/>
      <c r="X180" s="82" t="str">
        <f t="shared" si="3"/>
        <v/>
      </c>
      <c r="Y180" s="82" t="str">
        <f t="shared" si="4"/>
        <v/>
      </c>
      <c r="Z180" s="82" t="str">
        <f t="shared" si="5"/>
        <v/>
      </c>
      <c r="AA180" s="82" t="str">
        <f t="shared" si="6"/>
        <v/>
      </c>
      <c r="AB180" s="83">
        <f t="shared" si="7"/>
        <v>0</v>
      </c>
      <c r="AC180" s="83">
        <f t="shared" si="8"/>
        <v>0</v>
      </c>
      <c r="AD180" s="78"/>
      <c r="AE180" s="83">
        <f t="shared" si="9"/>
        <v>0</v>
      </c>
      <c r="AF180" s="78"/>
      <c r="AG180" s="78"/>
      <c r="AH180" s="78"/>
    </row>
    <row r="181" ht="15.75" customHeight="1">
      <c r="A181" s="78"/>
      <c r="B181" s="79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80" t="str">
        <f t="shared" si="1"/>
        <v/>
      </c>
      <c r="Q181" s="80" t="str">
        <f t="shared" si="2"/>
        <v/>
      </c>
      <c r="R181" s="81"/>
      <c r="S181" s="81"/>
      <c r="T181" s="81"/>
      <c r="U181" s="81"/>
      <c r="V181" s="81"/>
      <c r="W181" s="81"/>
      <c r="X181" s="82" t="str">
        <f t="shared" si="3"/>
        <v/>
      </c>
      <c r="Y181" s="82" t="str">
        <f t="shared" si="4"/>
        <v/>
      </c>
      <c r="Z181" s="82" t="str">
        <f t="shared" si="5"/>
        <v/>
      </c>
      <c r="AA181" s="82" t="str">
        <f t="shared" si="6"/>
        <v/>
      </c>
      <c r="AB181" s="83">
        <f t="shared" si="7"/>
        <v>0</v>
      </c>
      <c r="AC181" s="83">
        <f t="shared" si="8"/>
        <v>0</v>
      </c>
      <c r="AD181" s="78"/>
      <c r="AE181" s="83">
        <f t="shared" si="9"/>
        <v>0</v>
      </c>
      <c r="AF181" s="78"/>
      <c r="AG181" s="78"/>
      <c r="AH181" s="78"/>
    </row>
    <row r="182" ht="15.75" customHeight="1">
      <c r="A182" s="78"/>
      <c r="B182" s="79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80" t="str">
        <f t="shared" si="1"/>
        <v/>
      </c>
      <c r="Q182" s="80" t="str">
        <f t="shared" si="2"/>
        <v/>
      </c>
      <c r="R182" s="81"/>
      <c r="S182" s="81"/>
      <c r="T182" s="81"/>
      <c r="U182" s="81"/>
      <c r="V182" s="81"/>
      <c r="W182" s="81"/>
      <c r="X182" s="82" t="str">
        <f t="shared" si="3"/>
        <v/>
      </c>
      <c r="Y182" s="82" t="str">
        <f t="shared" si="4"/>
        <v/>
      </c>
      <c r="Z182" s="82" t="str">
        <f t="shared" si="5"/>
        <v/>
      </c>
      <c r="AA182" s="82" t="str">
        <f t="shared" si="6"/>
        <v/>
      </c>
      <c r="AB182" s="83">
        <f t="shared" si="7"/>
        <v>0</v>
      </c>
      <c r="AC182" s="83">
        <f t="shared" si="8"/>
        <v>0</v>
      </c>
      <c r="AD182" s="78"/>
      <c r="AE182" s="83">
        <f t="shared" si="9"/>
        <v>0</v>
      </c>
      <c r="AF182" s="78"/>
      <c r="AG182" s="78"/>
      <c r="AH182" s="78"/>
    </row>
    <row r="183" ht="15.75" customHeight="1">
      <c r="A183" s="78"/>
      <c r="B183" s="79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80" t="str">
        <f t="shared" si="1"/>
        <v/>
      </c>
      <c r="Q183" s="80" t="str">
        <f t="shared" si="2"/>
        <v/>
      </c>
      <c r="R183" s="81"/>
      <c r="S183" s="81"/>
      <c r="T183" s="81"/>
      <c r="U183" s="81"/>
      <c r="V183" s="81"/>
      <c r="W183" s="81"/>
      <c r="X183" s="82" t="str">
        <f t="shared" si="3"/>
        <v/>
      </c>
      <c r="Y183" s="82" t="str">
        <f t="shared" si="4"/>
        <v/>
      </c>
      <c r="Z183" s="82" t="str">
        <f t="shared" si="5"/>
        <v/>
      </c>
      <c r="AA183" s="82" t="str">
        <f t="shared" si="6"/>
        <v/>
      </c>
      <c r="AB183" s="83">
        <f t="shared" si="7"/>
        <v>0</v>
      </c>
      <c r="AC183" s="83">
        <f t="shared" si="8"/>
        <v>0</v>
      </c>
      <c r="AD183" s="78"/>
      <c r="AE183" s="83">
        <f t="shared" si="9"/>
        <v>0</v>
      </c>
      <c r="AF183" s="78"/>
      <c r="AG183" s="78"/>
      <c r="AH183" s="78"/>
    </row>
    <row r="184" ht="15.75" customHeight="1">
      <c r="A184" s="78"/>
      <c r="B184" s="79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80" t="str">
        <f t="shared" si="1"/>
        <v/>
      </c>
      <c r="Q184" s="80" t="str">
        <f t="shared" si="2"/>
        <v/>
      </c>
      <c r="R184" s="81"/>
      <c r="S184" s="81"/>
      <c r="T184" s="81"/>
      <c r="U184" s="81"/>
      <c r="V184" s="81"/>
      <c r="W184" s="81"/>
      <c r="X184" s="82" t="str">
        <f t="shared" si="3"/>
        <v/>
      </c>
      <c r="Y184" s="82" t="str">
        <f t="shared" si="4"/>
        <v/>
      </c>
      <c r="Z184" s="82" t="str">
        <f t="shared" si="5"/>
        <v/>
      </c>
      <c r="AA184" s="82" t="str">
        <f t="shared" si="6"/>
        <v/>
      </c>
      <c r="AB184" s="83">
        <f t="shared" si="7"/>
        <v>0</v>
      </c>
      <c r="AC184" s="83">
        <f t="shared" si="8"/>
        <v>0</v>
      </c>
      <c r="AD184" s="78"/>
      <c r="AE184" s="83">
        <f t="shared" si="9"/>
        <v>0</v>
      </c>
      <c r="AF184" s="78"/>
      <c r="AG184" s="78"/>
      <c r="AH184" s="78"/>
    </row>
    <row r="185" ht="15.75" customHeight="1">
      <c r="A185" s="78"/>
      <c r="B185" s="79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80" t="str">
        <f t="shared" si="1"/>
        <v/>
      </c>
      <c r="Q185" s="80" t="str">
        <f t="shared" si="2"/>
        <v/>
      </c>
      <c r="R185" s="81"/>
      <c r="S185" s="81"/>
      <c r="T185" s="81"/>
      <c r="U185" s="81"/>
      <c r="V185" s="81"/>
      <c r="W185" s="81"/>
      <c r="X185" s="82" t="str">
        <f t="shared" si="3"/>
        <v/>
      </c>
      <c r="Y185" s="82" t="str">
        <f t="shared" si="4"/>
        <v/>
      </c>
      <c r="Z185" s="82" t="str">
        <f t="shared" si="5"/>
        <v/>
      </c>
      <c r="AA185" s="82" t="str">
        <f t="shared" si="6"/>
        <v/>
      </c>
      <c r="AB185" s="83">
        <f t="shared" si="7"/>
        <v>0</v>
      </c>
      <c r="AC185" s="83">
        <f t="shared" si="8"/>
        <v>0</v>
      </c>
      <c r="AD185" s="78"/>
      <c r="AE185" s="83">
        <f t="shared" si="9"/>
        <v>0</v>
      </c>
      <c r="AF185" s="78"/>
      <c r="AG185" s="78"/>
      <c r="AH185" s="78"/>
    </row>
    <row r="186" ht="15.75" customHeight="1">
      <c r="A186" s="78"/>
      <c r="B186" s="79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80" t="str">
        <f t="shared" si="1"/>
        <v/>
      </c>
      <c r="Q186" s="80" t="str">
        <f t="shared" si="2"/>
        <v/>
      </c>
      <c r="R186" s="81"/>
      <c r="S186" s="81"/>
      <c r="T186" s="81"/>
      <c r="U186" s="81"/>
      <c r="V186" s="81"/>
      <c r="W186" s="81"/>
      <c r="X186" s="82" t="str">
        <f t="shared" si="3"/>
        <v/>
      </c>
      <c r="Y186" s="82" t="str">
        <f t="shared" si="4"/>
        <v/>
      </c>
      <c r="Z186" s="82" t="str">
        <f t="shared" si="5"/>
        <v/>
      </c>
      <c r="AA186" s="82" t="str">
        <f t="shared" si="6"/>
        <v/>
      </c>
      <c r="AB186" s="83">
        <f t="shared" si="7"/>
        <v>0</v>
      </c>
      <c r="AC186" s="83">
        <f t="shared" si="8"/>
        <v>0</v>
      </c>
      <c r="AD186" s="78"/>
      <c r="AE186" s="83">
        <f t="shared" si="9"/>
        <v>0</v>
      </c>
      <c r="AF186" s="78"/>
      <c r="AG186" s="78"/>
      <c r="AH186" s="78"/>
    </row>
    <row r="187" ht="15.75" customHeight="1">
      <c r="A187" s="78"/>
      <c r="B187" s="79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80" t="str">
        <f t="shared" si="1"/>
        <v/>
      </c>
      <c r="Q187" s="80" t="str">
        <f t="shared" si="2"/>
        <v/>
      </c>
      <c r="R187" s="81"/>
      <c r="S187" s="81"/>
      <c r="T187" s="81"/>
      <c r="U187" s="81"/>
      <c r="V187" s="81"/>
      <c r="W187" s="81"/>
      <c r="X187" s="82" t="str">
        <f t="shared" si="3"/>
        <v/>
      </c>
      <c r="Y187" s="82" t="str">
        <f t="shared" si="4"/>
        <v/>
      </c>
      <c r="Z187" s="82" t="str">
        <f t="shared" si="5"/>
        <v/>
      </c>
      <c r="AA187" s="82" t="str">
        <f t="shared" si="6"/>
        <v/>
      </c>
      <c r="AB187" s="83">
        <f t="shared" si="7"/>
        <v>0</v>
      </c>
      <c r="AC187" s="83">
        <f t="shared" si="8"/>
        <v>0</v>
      </c>
      <c r="AD187" s="78"/>
      <c r="AE187" s="83">
        <f t="shared" si="9"/>
        <v>0</v>
      </c>
      <c r="AF187" s="78"/>
      <c r="AG187" s="78"/>
      <c r="AH187" s="78"/>
    </row>
    <row r="188" ht="15.75" customHeight="1">
      <c r="A188" s="78"/>
      <c r="B188" s="79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80" t="str">
        <f t="shared" si="1"/>
        <v/>
      </c>
      <c r="Q188" s="80" t="str">
        <f t="shared" si="2"/>
        <v/>
      </c>
      <c r="R188" s="81"/>
      <c r="S188" s="81"/>
      <c r="T188" s="81"/>
      <c r="U188" s="81"/>
      <c r="V188" s="81"/>
      <c r="W188" s="81"/>
      <c r="X188" s="82" t="str">
        <f t="shared" si="3"/>
        <v/>
      </c>
      <c r="Y188" s="82" t="str">
        <f t="shared" si="4"/>
        <v/>
      </c>
      <c r="Z188" s="82" t="str">
        <f t="shared" si="5"/>
        <v/>
      </c>
      <c r="AA188" s="82" t="str">
        <f t="shared" si="6"/>
        <v/>
      </c>
      <c r="AB188" s="83">
        <f t="shared" si="7"/>
        <v>0</v>
      </c>
      <c r="AC188" s="83">
        <f t="shared" si="8"/>
        <v>0</v>
      </c>
      <c r="AD188" s="78"/>
      <c r="AE188" s="83">
        <f t="shared" si="9"/>
        <v>0</v>
      </c>
      <c r="AF188" s="78"/>
      <c r="AG188" s="78"/>
      <c r="AH188" s="78"/>
    </row>
    <row r="189" ht="15.75" customHeight="1">
      <c r="A189" s="78"/>
      <c r="B189" s="79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80" t="str">
        <f t="shared" si="1"/>
        <v/>
      </c>
      <c r="Q189" s="80" t="str">
        <f t="shared" si="2"/>
        <v/>
      </c>
      <c r="R189" s="81"/>
      <c r="S189" s="81"/>
      <c r="T189" s="81"/>
      <c r="U189" s="81"/>
      <c r="V189" s="81"/>
      <c r="W189" s="81"/>
      <c r="X189" s="82" t="str">
        <f t="shared" si="3"/>
        <v/>
      </c>
      <c r="Y189" s="82" t="str">
        <f t="shared" si="4"/>
        <v/>
      </c>
      <c r="Z189" s="82" t="str">
        <f t="shared" si="5"/>
        <v/>
      </c>
      <c r="AA189" s="82" t="str">
        <f t="shared" si="6"/>
        <v/>
      </c>
      <c r="AB189" s="83">
        <f t="shared" si="7"/>
        <v>0</v>
      </c>
      <c r="AC189" s="83">
        <f t="shared" si="8"/>
        <v>0</v>
      </c>
      <c r="AD189" s="78"/>
      <c r="AE189" s="83">
        <f t="shared" si="9"/>
        <v>0</v>
      </c>
      <c r="AF189" s="78"/>
      <c r="AG189" s="78"/>
      <c r="AH189" s="78"/>
    </row>
    <row r="190" ht="15.75" customHeight="1">
      <c r="A190" s="78"/>
      <c r="B190" s="79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80" t="str">
        <f t="shared" si="1"/>
        <v/>
      </c>
      <c r="Q190" s="80" t="str">
        <f t="shared" si="2"/>
        <v/>
      </c>
      <c r="R190" s="81"/>
      <c r="S190" s="81"/>
      <c r="T190" s="81"/>
      <c r="U190" s="81"/>
      <c r="V190" s="81"/>
      <c r="W190" s="81"/>
      <c r="X190" s="82" t="str">
        <f t="shared" si="3"/>
        <v/>
      </c>
      <c r="Y190" s="82" t="str">
        <f t="shared" si="4"/>
        <v/>
      </c>
      <c r="Z190" s="82" t="str">
        <f t="shared" si="5"/>
        <v/>
      </c>
      <c r="AA190" s="82" t="str">
        <f t="shared" si="6"/>
        <v/>
      </c>
      <c r="AB190" s="83">
        <f t="shared" si="7"/>
        <v>0</v>
      </c>
      <c r="AC190" s="83">
        <f t="shared" si="8"/>
        <v>0</v>
      </c>
      <c r="AD190" s="78"/>
      <c r="AE190" s="83">
        <f t="shared" si="9"/>
        <v>0</v>
      </c>
      <c r="AF190" s="78"/>
      <c r="AG190" s="78"/>
      <c r="AH190" s="78"/>
    </row>
    <row r="191" ht="15.75" customHeight="1">
      <c r="A191" s="78"/>
      <c r="B191" s="79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80" t="str">
        <f t="shared" si="1"/>
        <v/>
      </c>
      <c r="Q191" s="80" t="str">
        <f t="shared" si="2"/>
        <v/>
      </c>
      <c r="R191" s="81"/>
      <c r="S191" s="81"/>
      <c r="T191" s="81"/>
      <c r="U191" s="81"/>
      <c r="V191" s="81"/>
      <c r="W191" s="81"/>
      <c r="X191" s="82" t="str">
        <f t="shared" si="3"/>
        <v/>
      </c>
      <c r="Y191" s="82" t="str">
        <f t="shared" si="4"/>
        <v/>
      </c>
      <c r="Z191" s="82" t="str">
        <f t="shared" si="5"/>
        <v/>
      </c>
      <c r="AA191" s="82" t="str">
        <f t="shared" si="6"/>
        <v/>
      </c>
      <c r="AB191" s="83">
        <f t="shared" si="7"/>
        <v>0</v>
      </c>
      <c r="AC191" s="83">
        <f t="shared" si="8"/>
        <v>0</v>
      </c>
      <c r="AD191" s="78"/>
      <c r="AE191" s="83">
        <f t="shared" si="9"/>
        <v>0</v>
      </c>
      <c r="AF191" s="78"/>
      <c r="AG191" s="78"/>
      <c r="AH191" s="78"/>
    </row>
    <row r="192" ht="15.75" customHeight="1">
      <c r="A192" s="78"/>
      <c r="B192" s="79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80" t="str">
        <f t="shared" si="1"/>
        <v/>
      </c>
      <c r="Q192" s="80" t="str">
        <f t="shared" si="2"/>
        <v/>
      </c>
      <c r="R192" s="81"/>
      <c r="S192" s="81"/>
      <c r="T192" s="81"/>
      <c r="U192" s="81"/>
      <c r="V192" s="81"/>
      <c r="W192" s="81"/>
      <c r="X192" s="82" t="str">
        <f t="shared" si="3"/>
        <v/>
      </c>
      <c r="Y192" s="82" t="str">
        <f t="shared" si="4"/>
        <v/>
      </c>
      <c r="Z192" s="82" t="str">
        <f t="shared" si="5"/>
        <v/>
      </c>
      <c r="AA192" s="82" t="str">
        <f t="shared" si="6"/>
        <v/>
      </c>
      <c r="AB192" s="83">
        <f t="shared" si="7"/>
        <v>0</v>
      </c>
      <c r="AC192" s="83">
        <f t="shared" si="8"/>
        <v>0</v>
      </c>
      <c r="AD192" s="78"/>
      <c r="AE192" s="83">
        <f t="shared" si="9"/>
        <v>0</v>
      </c>
      <c r="AF192" s="78"/>
      <c r="AG192" s="78"/>
      <c r="AH192" s="78"/>
    </row>
    <row r="193" ht="15.75" customHeight="1">
      <c r="A193" s="78"/>
      <c r="B193" s="79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80" t="str">
        <f t="shared" si="1"/>
        <v/>
      </c>
      <c r="Q193" s="80" t="str">
        <f t="shared" si="2"/>
        <v/>
      </c>
      <c r="R193" s="81"/>
      <c r="S193" s="81"/>
      <c r="T193" s="81"/>
      <c r="U193" s="81"/>
      <c r="V193" s="81"/>
      <c r="W193" s="81"/>
      <c r="X193" s="82" t="str">
        <f t="shared" si="3"/>
        <v/>
      </c>
      <c r="Y193" s="82" t="str">
        <f t="shared" si="4"/>
        <v/>
      </c>
      <c r="Z193" s="82" t="str">
        <f t="shared" si="5"/>
        <v/>
      </c>
      <c r="AA193" s="82" t="str">
        <f t="shared" si="6"/>
        <v/>
      </c>
      <c r="AB193" s="83">
        <f t="shared" si="7"/>
        <v>0</v>
      </c>
      <c r="AC193" s="83">
        <f t="shared" si="8"/>
        <v>0</v>
      </c>
      <c r="AD193" s="78"/>
      <c r="AE193" s="83">
        <f t="shared" si="9"/>
        <v>0</v>
      </c>
      <c r="AF193" s="78"/>
      <c r="AG193" s="78"/>
      <c r="AH193" s="78"/>
    </row>
    <row r="194" ht="15.75" customHeight="1">
      <c r="A194" s="78"/>
      <c r="B194" s="79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80" t="str">
        <f t="shared" si="1"/>
        <v/>
      </c>
      <c r="Q194" s="80" t="str">
        <f t="shared" si="2"/>
        <v/>
      </c>
      <c r="R194" s="81"/>
      <c r="S194" s="81"/>
      <c r="T194" s="81"/>
      <c r="U194" s="81"/>
      <c r="V194" s="81"/>
      <c r="W194" s="81"/>
      <c r="X194" s="82" t="str">
        <f t="shared" si="3"/>
        <v/>
      </c>
      <c r="Y194" s="82" t="str">
        <f t="shared" si="4"/>
        <v/>
      </c>
      <c r="Z194" s="82" t="str">
        <f t="shared" si="5"/>
        <v/>
      </c>
      <c r="AA194" s="82" t="str">
        <f t="shared" si="6"/>
        <v/>
      </c>
      <c r="AB194" s="83">
        <f t="shared" si="7"/>
        <v>0</v>
      </c>
      <c r="AC194" s="83">
        <f t="shared" si="8"/>
        <v>0</v>
      </c>
      <c r="AD194" s="78"/>
      <c r="AE194" s="83">
        <f t="shared" si="9"/>
        <v>0</v>
      </c>
      <c r="AF194" s="78"/>
      <c r="AG194" s="78"/>
      <c r="AH194" s="78"/>
    </row>
    <row r="195" ht="15.75" customHeight="1">
      <c r="A195" s="78"/>
      <c r="B195" s="79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80" t="str">
        <f t="shared" si="1"/>
        <v/>
      </c>
      <c r="Q195" s="80" t="str">
        <f t="shared" si="2"/>
        <v/>
      </c>
      <c r="R195" s="81"/>
      <c r="S195" s="81"/>
      <c r="T195" s="81"/>
      <c r="U195" s="81"/>
      <c r="V195" s="81"/>
      <c r="W195" s="81"/>
      <c r="X195" s="82" t="str">
        <f t="shared" si="3"/>
        <v/>
      </c>
      <c r="Y195" s="82" t="str">
        <f t="shared" si="4"/>
        <v/>
      </c>
      <c r="Z195" s="82" t="str">
        <f t="shared" si="5"/>
        <v/>
      </c>
      <c r="AA195" s="82" t="str">
        <f t="shared" si="6"/>
        <v/>
      </c>
      <c r="AB195" s="83">
        <f t="shared" si="7"/>
        <v>0</v>
      </c>
      <c r="AC195" s="83">
        <f t="shared" si="8"/>
        <v>0</v>
      </c>
      <c r="AD195" s="78"/>
      <c r="AE195" s="83">
        <f t="shared" si="9"/>
        <v>0</v>
      </c>
      <c r="AF195" s="78"/>
      <c r="AG195" s="78"/>
      <c r="AH195" s="78"/>
    </row>
    <row r="196" ht="15.75" customHeight="1">
      <c r="A196" s="78"/>
      <c r="B196" s="79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80" t="str">
        <f t="shared" si="1"/>
        <v/>
      </c>
      <c r="Q196" s="80" t="str">
        <f t="shared" si="2"/>
        <v/>
      </c>
      <c r="R196" s="81"/>
      <c r="S196" s="81"/>
      <c r="T196" s="81"/>
      <c r="U196" s="81"/>
      <c r="V196" s="81"/>
      <c r="W196" s="81"/>
      <c r="X196" s="82" t="str">
        <f t="shared" si="3"/>
        <v/>
      </c>
      <c r="Y196" s="82" t="str">
        <f t="shared" si="4"/>
        <v/>
      </c>
      <c r="Z196" s="82" t="str">
        <f t="shared" si="5"/>
        <v/>
      </c>
      <c r="AA196" s="82" t="str">
        <f t="shared" si="6"/>
        <v/>
      </c>
      <c r="AB196" s="83">
        <f t="shared" si="7"/>
        <v>0</v>
      </c>
      <c r="AC196" s="83">
        <f t="shared" si="8"/>
        <v>0</v>
      </c>
      <c r="AD196" s="78"/>
      <c r="AE196" s="83">
        <f t="shared" si="9"/>
        <v>0</v>
      </c>
      <c r="AF196" s="78"/>
      <c r="AG196" s="78"/>
      <c r="AH196" s="78"/>
    </row>
    <row r="197" ht="15.75" customHeight="1">
      <c r="A197" s="78"/>
      <c r="B197" s="79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80" t="str">
        <f t="shared" si="1"/>
        <v/>
      </c>
      <c r="Q197" s="80" t="str">
        <f t="shared" si="2"/>
        <v/>
      </c>
      <c r="R197" s="81"/>
      <c r="S197" s="81"/>
      <c r="T197" s="81"/>
      <c r="U197" s="81"/>
      <c r="V197" s="81"/>
      <c r="W197" s="81"/>
      <c r="X197" s="82" t="str">
        <f t="shared" si="3"/>
        <v/>
      </c>
      <c r="Y197" s="82" t="str">
        <f t="shared" si="4"/>
        <v/>
      </c>
      <c r="Z197" s="82" t="str">
        <f t="shared" si="5"/>
        <v/>
      </c>
      <c r="AA197" s="82" t="str">
        <f t="shared" si="6"/>
        <v/>
      </c>
      <c r="AB197" s="83">
        <f t="shared" si="7"/>
        <v>0</v>
      </c>
      <c r="AC197" s="83">
        <f t="shared" si="8"/>
        <v>0</v>
      </c>
      <c r="AD197" s="78"/>
      <c r="AE197" s="83">
        <f t="shared" si="9"/>
        <v>0</v>
      </c>
      <c r="AF197" s="78"/>
      <c r="AG197" s="78"/>
      <c r="AH197" s="78"/>
    </row>
    <row r="198" ht="15.75" customHeight="1">
      <c r="A198" s="78"/>
      <c r="B198" s="79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80" t="str">
        <f t="shared" si="1"/>
        <v/>
      </c>
      <c r="Q198" s="80" t="str">
        <f t="shared" si="2"/>
        <v/>
      </c>
      <c r="R198" s="81"/>
      <c r="S198" s="81"/>
      <c r="T198" s="81"/>
      <c r="U198" s="81"/>
      <c r="V198" s="81"/>
      <c r="W198" s="81"/>
      <c r="X198" s="82" t="str">
        <f t="shared" si="3"/>
        <v/>
      </c>
      <c r="Y198" s="82" t="str">
        <f t="shared" si="4"/>
        <v/>
      </c>
      <c r="Z198" s="82" t="str">
        <f t="shared" si="5"/>
        <v/>
      </c>
      <c r="AA198" s="82" t="str">
        <f t="shared" si="6"/>
        <v/>
      </c>
      <c r="AB198" s="83">
        <f t="shared" si="7"/>
        <v>0</v>
      </c>
      <c r="AC198" s="83">
        <f t="shared" si="8"/>
        <v>0</v>
      </c>
      <c r="AD198" s="78"/>
      <c r="AE198" s="83">
        <f t="shared" si="9"/>
        <v>0</v>
      </c>
      <c r="AF198" s="78"/>
      <c r="AG198" s="78"/>
      <c r="AH198" s="78"/>
    </row>
    <row r="199" ht="15.75" customHeight="1">
      <c r="A199" s="78"/>
      <c r="B199" s="79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80" t="str">
        <f t="shared" si="1"/>
        <v/>
      </c>
      <c r="Q199" s="80" t="str">
        <f t="shared" si="2"/>
        <v/>
      </c>
      <c r="R199" s="81"/>
      <c r="S199" s="81"/>
      <c r="T199" s="81"/>
      <c r="U199" s="81"/>
      <c r="V199" s="81"/>
      <c r="W199" s="81"/>
      <c r="X199" s="82" t="str">
        <f t="shared" si="3"/>
        <v/>
      </c>
      <c r="Y199" s="82" t="str">
        <f t="shared" si="4"/>
        <v/>
      </c>
      <c r="Z199" s="82" t="str">
        <f t="shared" si="5"/>
        <v/>
      </c>
      <c r="AA199" s="82" t="str">
        <f t="shared" si="6"/>
        <v/>
      </c>
      <c r="AB199" s="83">
        <f t="shared" si="7"/>
        <v>0</v>
      </c>
      <c r="AC199" s="83">
        <f t="shared" si="8"/>
        <v>0</v>
      </c>
      <c r="AD199" s="78"/>
      <c r="AE199" s="83">
        <f t="shared" si="9"/>
        <v>0</v>
      </c>
      <c r="AF199" s="78"/>
      <c r="AG199" s="78"/>
      <c r="AH199" s="78"/>
    </row>
    <row r="200" ht="15.75" customHeight="1">
      <c r="A200" s="78"/>
      <c r="B200" s="79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80" t="str">
        <f t="shared" si="1"/>
        <v/>
      </c>
      <c r="Q200" s="80" t="str">
        <f t="shared" si="2"/>
        <v/>
      </c>
      <c r="R200" s="81"/>
      <c r="S200" s="81"/>
      <c r="T200" s="81"/>
      <c r="U200" s="81"/>
      <c r="V200" s="81"/>
      <c r="W200" s="81"/>
      <c r="X200" s="82" t="str">
        <f t="shared" si="3"/>
        <v/>
      </c>
      <c r="Y200" s="82" t="str">
        <f t="shared" si="4"/>
        <v/>
      </c>
      <c r="Z200" s="82" t="str">
        <f t="shared" si="5"/>
        <v/>
      </c>
      <c r="AA200" s="82" t="str">
        <f t="shared" si="6"/>
        <v/>
      </c>
      <c r="AB200" s="83">
        <f t="shared" si="7"/>
        <v>0</v>
      </c>
      <c r="AC200" s="83">
        <f t="shared" si="8"/>
        <v>0</v>
      </c>
      <c r="AD200" s="78"/>
      <c r="AE200" s="83">
        <f t="shared" si="9"/>
        <v>0</v>
      </c>
      <c r="AF200" s="78"/>
      <c r="AG200" s="78"/>
      <c r="AH200" s="78"/>
    </row>
    <row r="201" ht="15.75" customHeight="1">
      <c r="A201" s="78"/>
      <c r="B201" s="79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80" t="str">
        <f t="shared" si="1"/>
        <v/>
      </c>
      <c r="Q201" s="80" t="str">
        <f t="shared" si="2"/>
        <v/>
      </c>
      <c r="R201" s="81"/>
      <c r="S201" s="81"/>
      <c r="T201" s="81"/>
      <c r="U201" s="81"/>
      <c r="V201" s="81"/>
      <c r="W201" s="81"/>
      <c r="X201" s="82" t="str">
        <f t="shared" si="3"/>
        <v/>
      </c>
      <c r="Y201" s="82" t="str">
        <f t="shared" si="4"/>
        <v/>
      </c>
      <c r="Z201" s="82" t="str">
        <f t="shared" si="5"/>
        <v/>
      </c>
      <c r="AA201" s="82" t="str">
        <f t="shared" si="6"/>
        <v/>
      </c>
      <c r="AB201" s="83">
        <f t="shared" si="7"/>
        <v>0</v>
      </c>
      <c r="AC201" s="83">
        <f t="shared" si="8"/>
        <v>0</v>
      </c>
      <c r="AD201" s="78"/>
      <c r="AE201" s="83">
        <f t="shared" si="9"/>
        <v>0</v>
      </c>
      <c r="AF201" s="78"/>
      <c r="AG201" s="78"/>
      <c r="AH201" s="78"/>
    </row>
    <row r="202" ht="15.75" customHeight="1">
      <c r="A202" s="78"/>
      <c r="B202" s="79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80" t="str">
        <f t="shared" si="1"/>
        <v/>
      </c>
      <c r="Q202" s="80" t="str">
        <f t="shared" si="2"/>
        <v/>
      </c>
      <c r="R202" s="81"/>
      <c r="S202" s="81"/>
      <c r="T202" s="81"/>
      <c r="U202" s="81"/>
      <c r="V202" s="81"/>
      <c r="W202" s="81"/>
      <c r="X202" s="82" t="str">
        <f t="shared" si="3"/>
        <v/>
      </c>
      <c r="Y202" s="82" t="str">
        <f t="shared" si="4"/>
        <v/>
      </c>
      <c r="Z202" s="82" t="str">
        <f t="shared" si="5"/>
        <v/>
      </c>
      <c r="AA202" s="82" t="str">
        <f t="shared" si="6"/>
        <v/>
      </c>
      <c r="AB202" s="83">
        <f t="shared" si="7"/>
        <v>0</v>
      </c>
      <c r="AC202" s="83">
        <f t="shared" si="8"/>
        <v>0</v>
      </c>
      <c r="AD202" s="78"/>
      <c r="AE202" s="83">
        <f t="shared" si="9"/>
        <v>0</v>
      </c>
      <c r="AF202" s="78"/>
      <c r="AG202" s="78"/>
      <c r="AH202" s="78"/>
    </row>
    <row r="203" ht="15.75" customHeight="1">
      <c r="A203" s="78"/>
      <c r="B203" s="79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80" t="str">
        <f t="shared" si="1"/>
        <v/>
      </c>
      <c r="Q203" s="80" t="str">
        <f t="shared" si="2"/>
        <v/>
      </c>
      <c r="R203" s="81"/>
      <c r="S203" s="81"/>
      <c r="T203" s="81"/>
      <c r="U203" s="81"/>
      <c r="V203" s="81"/>
      <c r="W203" s="81"/>
      <c r="X203" s="82" t="str">
        <f t="shared" si="3"/>
        <v/>
      </c>
      <c r="Y203" s="82" t="str">
        <f t="shared" si="4"/>
        <v/>
      </c>
      <c r="Z203" s="82" t="str">
        <f t="shared" si="5"/>
        <v/>
      </c>
      <c r="AA203" s="82" t="str">
        <f t="shared" si="6"/>
        <v/>
      </c>
      <c r="AB203" s="83">
        <f t="shared" si="7"/>
        <v>0</v>
      </c>
      <c r="AC203" s="83">
        <f t="shared" si="8"/>
        <v>0</v>
      </c>
      <c r="AD203" s="78"/>
      <c r="AE203" s="83">
        <f t="shared" si="9"/>
        <v>0</v>
      </c>
      <c r="AF203" s="78"/>
      <c r="AG203" s="78"/>
      <c r="AH203" s="78"/>
    </row>
    <row r="204" ht="15.75" customHeight="1">
      <c r="A204" s="78"/>
      <c r="B204" s="79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80" t="str">
        <f t="shared" si="1"/>
        <v/>
      </c>
      <c r="Q204" s="80" t="str">
        <f t="shared" si="2"/>
        <v/>
      </c>
      <c r="R204" s="81"/>
      <c r="S204" s="81"/>
      <c r="T204" s="81"/>
      <c r="U204" s="81"/>
      <c r="V204" s="81"/>
      <c r="W204" s="81"/>
      <c r="X204" s="82" t="str">
        <f t="shared" si="3"/>
        <v/>
      </c>
      <c r="Y204" s="82" t="str">
        <f t="shared" si="4"/>
        <v/>
      </c>
      <c r="Z204" s="82" t="str">
        <f t="shared" si="5"/>
        <v/>
      </c>
      <c r="AA204" s="82" t="str">
        <f t="shared" si="6"/>
        <v/>
      </c>
      <c r="AB204" s="83">
        <f t="shared" si="7"/>
        <v>0</v>
      </c>
      <c r="AC204" s="83">
        <f t="shared" si="8"/>
        <v>0</v>
      </c>
      <c r="AD204" s="78"/>
      <c r="AE204" s="83">
        <f t="shared" si="9"/>
        <v>0</v>
      </c>
      <c r="AF204" s="78"/>
      <c r="AG204" s="78"/>
      <c r="AH204" s="78"/>
    </row>
    <row r="205" ht="15.75" customHeight="1">
      <c r="A205" s="78"/>
      <c r="B205" s="79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80" t="str">
        <f t="shared" si="1"/>
        <v/>
      </c>
      <c r="Q205" s="80" t="str">
        <f t="shared" si="2"/>
        <v/>
      </c>
      <c r="R205" s="81"/>
      <c r="S205" s="81"/>
      <c r="T205" s="81"/>
      <c r="U205" s="81"/>
      <c r="V205" s="81"/>
      <c r="W205" s="81"/>
      <c r="X205" s="82" t="str">
        <f t="shared" si="3"/>
        <v/>
      </c>
      <c r="Y205" s="82" t="str">
        <f t="shared" si="4"/>
        <v/>
      </c>
      <c r="Z205" s="82" t="str">
        <f t="shared" si="5"/>
        <v/>
      </c>
      <c r="AA205" s="82" t="str">
        <f t="shared" si="6"/>
        <v/>
      </c>
      <c r="AB205" s="83">
        <f t="shared" si="7"/>
        <v>0</v>
      </c>
      <c r="AC205" s="83">
        <f t="shared" si="8"/>
        <v>0</v>
      </c>
      <c r="AD205" s="78"/>
      <c r="AE205" s="83">
        <f t="shared" si="9"/>
        <v>0</v>
      </c>
      <c r="AF205" s="78"/>
      <c r="AG205" s="78"/>
      <c r="AH205" s="78"/>
    </row>
    <row r="206" ht="15.75" customHeight="1">
      <c r="A206" s="78"/>
      <c r="B206" s="79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80" t="str">
        <f t="shared" si="1"/>
        <v/>
      </c>
      <c r="Q206" s="80" t="str">
        <f t="shared" si="2"/>
        <v/>
      </c>
      <c r="R206" s="81"/>
      <c r="S206" s="81"/>
      <c r="T206" s="81"/>
      <c r="U206" s="81"/>
      <c r="V206" s="81"/>
      <c r="W206" s="81"/>
      <c r="X206" s="82" t="str">
        <f t="shared" si="3"/>
        <v/>
      </c>
      <c r="Y206" s="82" t="str">
        <f t="shared" si="4"/>
        <v/>
      </c>
      <c r="Z206" s="82" t="str">
        <f t="shared" si="5"/>
        <v/>
      </c>
      <c r="AA206" s="82" t="str">
        <f t="shared" si="6"/>
        <v/>
      </c>
      <c r="AB206" s="83">
        <f t="shared" si="7"/>
        <v>0</v>
      </c>
      <c r="AC206" s="83">
        <f t="shared" si="8"/>
        <v>0</v>
      </c>
      <c r="AD206" s="78"/>
      <c r="AE206" s="83">
        <f t="shared" si="9"/>
        <v>0</v>
      </c>
      <c r="AF206" s="78"/>
      <c r="AG206" s="78"/>
      <c r="AH206" s="78"/>
    </row>
    <row r="207" ht="15.75" customHeight="1">
      <c r="A207" s="78"/>
      <c r="B207" s="79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80" t="str">
        <f t="shared" si="1"/>
        <v/>
      </c>
      <c r="Q207" s="80" t="str">
        <f t="shared" si="2"/>
        <v/>
      </c>
      <c r="R207" s="81"/>
      <c r="S207" s="81"/>
      <c r="T207" s="81"/>
      <c r="U207" s="81"/>
      <c r="V207" s="81"/>
      <c r="W207" s="81"/>
      <c r="X207" s="82" t="str">
        <f t="shared" si="3"/>
        <v/>
      </c>
      <c r="Y207" s="82" t="str">
        <f t="shared" si="4"/>
        <v/>
      </c>
      <c r="Z207" s="82" t="str">
        <f t="shared" si="5"/>
        <v/>
      </c>
      <c r="AA207" s="82" t="str">
        <f t="shared" si="6"/>
        <v/>
      </c>
      <c r="AB207" s="83">
        <f t="shared" si="7"/>
        <v>0</v>
      </c>
      <c r="AC207" s="83">
        <f t="shared" si="8"/>
        <v>0</v>
      </c>
      <c r="AD207" s="78"/>
      <c r="AE207" s="83">
        <f t="shared" si="9"/>
        <v>0</v>
      </c>
      <c r="AF207" s="78"/>
      <c r="AG207" s="78"/>
      <c r="AH207" s="78"/>
    </row>
    <row r="208" ht="15.75" customHeight="1">
      <c r="A208" s="78"/>
      <c r="B208" s="79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80" t="str">
        <f t="shared" si="1"/>
        <v/>
      </c>
      <c r="Q208" s="80" t="str">
        <f t="shared" si="2"/>
        <v/>
      </c>
      <c r="R208" s="81"/>
      <c r="S208" s="81"/>
      <c r="T208" s="81"/>
      <c r="U208" s="81"/>
      <c r="V208" s="81"/>
      <c r="W208" s="81"/>
      <c r="X208" s="82" t="str">
        <f t="shared" si="3"/>
        <v/>
      </c>
      <c r="Y208" s="82" t="str">
        <f t="shared" si="4"/>
        <v/>
      </c>
      <c r="Z208" s="82" t="str">
        <f t="shared" si="5"/>
        <v/>
      </c>
      <c r="AA208" s="82" t="str">
        <f t="shared" si="6"/>
        <v/>
      </c>
      <c r="AB208" s="83">
        <f t="shared" si="7"/>
        <v>0</v>
      </c>
      <c r="AC208" s="83">
        <f t="shared" si="8"/>
        <v>0</v>
      </c>
      <c r="AD208" s="78"/>
      <c r="AE208" s="83">
        <f t="shared" si="9"/>
        <v>0</v>
      </c>
      <c r="AF208" s="78"/>
      <c r="AG208" s="78"/>
      <c r="AH208" s="78"/>
    </row>
    <row r="209" ht="15.75" customHeight="1">
      <c r="A209" s="78"/>
      <c r="B209" s="79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80" t="str">
        <f t="shared" si="1"/>
        <v/>
      </c>
      <c r="Q209" s="80" t="str">
        <f t="shared" si="2"/>
        <v/>
      </c>
      <c r="R209" s="81"/>
      <c r="S209" s="81"/>
      <c r="T209" s="81"/>
      <c r="U209" s="81"/>
      <c r="V209" s="81"/>
      <c r="W209" s="81"/>
      <c r="X209" s="82" t="str">
        <f t="shared" si="3"/>
        <v/>
      </c>
      <c r="Y209" s="82" t="str">
        <f t="shared" si="4"/>
        <v/>
      </c>
      <c r="Z209" s="82" t="str">
        <f t="shared" si="5"/>
        <v/>
      </c>
      <c r="AA209" s="82" t="str">
        <f t="shared" si="6"/>
        <v/>
      </c>
      <c r="AB209" s="83">
        <f t="shared" si="7"/>
        <v>0</v>
      </c>
      <c r="AC209" s="83">
        <f t="shared" si="8"/>
        <v>0</v>
      </c>
      <c r="AD209" s="78"/>
      <c r="AE209" s="83">
        <f t="shared" si="9"/>
        <v>0</v>
      </c>
      <c r="AF209" s="78"/>
      <c r="AG209" s="78"/>
      <c r="AH209" s="78"/>
    </row>
    <row r="210" ht="15.75" customHeight="1">
      <c r="A210" s="78"/>
      <c r="B210" s="79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80" t="str">
        <f t="shared" si="1"/>
        <v/>
      </c>
      <c r="Q210" s="80" t="str">
        <f t="shared" si="2"/>
        <v/>
      </c>
      <c r="R210" s="81"/>
      <c r="S210" s="81"/>
      <c r="T210" s="81"/>
      <c r="U210" s="81"/>
      <c r="V210" s="81"/>
      <c r="W210" s="81"/>
      <c r="X210" s="82" t="str">
        <f t="shared" si="3"/>
        <v/>
      </c>
      <c r="Y210" s="82" t="str">
        <f t="shared" si="4"/>
        <v/>
      </c>
      <c r="Z210" s="82" t="str">
        <f t="shared" si="5"/>
        <v/>
      </c>
      <c r="AA210" s="82" t="str">
        <f t="shared" si="6"/>
        <v/>
      </c>
      <c r="AB210" s="83">
        <f t="shared" si="7"/>
        <v>0</v>
      </c>
      <c r="AC210" s="83">
        <f t="shared" si="8"/>
        <v>0</v>
      </c>
      <c r="AD210" s="78"/>
      <c r="AE210" s="83">
        <f t="shared" si="9"/>
        <v>0</v>
      </c>
      <c r="AF210" s="78"/>
      <c r="AG210" s="78"/>
      <c r="AH210" s="78"/>
    </row>
    <row r="211" ht="15.75" customHeight="1">
      <c r="A211" s="78"/>
      <c r="B211" s="79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80" t="str">
        <f t="shared" si="1"/>
        <v/>
      </c>
      <c r="Q211" s="80" t="str">
        <f t="shared" si="2"/>
        <v/>
      </c>
      <c r="R211" s="81"/>
      <c r="S211" s="81"/>
      <c r="T211" s="81"/>
      <c r="U211" s="81"/>
      <c r="V211" s="81"/>
      <c r="W211" s="81"/>
      <c r="X211" s="82" t="str">
        <f t="shared" si="3"/>
        <v/>
      </c>
      <c r="Y211" s="82" t="str">
        <f t="shared" si="4"/>
        <v/>
      </c>
      <c r="Z211" s="82" t="str">
        <f t="shared" si="5"/>
        <v/>
      </c>
      <c r="AA211" s="82" t="str">
        <f t="shared" si="6"/>
        <v/>
      </c>
      <c r="AB211" s="83">
        <f t="shared" si="7"/>
        <v>0</v>
      </c>
      <c r="AC211" s="83">
        <f t="shared" si="8"/>
        <v>0</v>
      </c>
      <c r="AD211" s="78"/>
      <c r="AE211" s="83">
        <f t="shared" si="9"/>
        <v>0</v>
      </c>
      <c r="AF211" s="78"/>
      <c r="AG211" s="78"/>
      <c r="AH211" s="78"/>
    </row>
    <row r="212" ht="15.75" customHeight="1">
      <c r="A212" s="78"/>
      <c r="B212" s="79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80" t="str">
        <f t="shared" si="1"/>
        <v/>
      </c>
      <c r="Q212" s="80" t="str">
        <f t="shared" si="2"/>
        <v/>
      </c>
      <c r="R212" s="81"/>
      <c r="S212" s="81"/>
      <c r="T212" s="81"/>
      <c r="U212" s="81"/>
      <c r="V212" s="81"/>
      <c r="W212" s="81"/>
      <c r="X212" s="82" t="str">
        <f t="shared" si="3"/>
        <v/>
      </c>
      <c r="Y212" s="82" t="str">
        <f t="shared" si="4"/>
        <v/>
      </c>
      <c r="Z212" s="82" t="str">
        <f t="shared" si="5"/>
        <v/>
      </c>
      <c r="AA212" s="82" t="str">
        <f t="shared" si="6"/>
        <v/>
      </c>
      <c r="AB212" s="83">
        <f t="shared" si="7"/>
        <v>0</v>
      </c>
      <c r="AC212" s="83">
        <f t="shared" si="8"/>
        <v>0</v>
      </c>
      <c r="AD212" s="78"/>
      <c r="AE212" s="83">
        <f t="shared" si="9"/>
        <v>0</v>
      </c>
      <c r="AF212" s="78"/>
      <c r="AG212" s="78"/>
      <c r="AH212" s="78"/>
    </row>
    <row r="213" ht="15.75" customHeight="1">
      <c r="A213" s="78"/>
      <c r="B213" s="79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80" t="str">
        <f t="shared" si="1"/>
        <v/>
      </c>
      <c r="Q213" s="80" t="str">
        <f t="shared" si="2"/>
        <v/>
      </c>
      <c r="R213" s="81"/>
      <c r="S213" s="81"/>
      <c r="T213" s="81"/>
      <c r="U213" s="81"/>
      <c r="V213" s="81"/>
      <c r="W213" s="81"/>
      <c r="X213" s="82" t="str">
        <f t="shared" si="3"/>
        <v/>
      </c>
      <c r="Y213" s="82" t="str">
        <f t="shared" si="4"/>
        <v/>
      </c>
      <c r="Z213" s="82" t="str">
        <f t="shared" si="5"/>
        <v/>
      </c>
      <c r="AA213" s="82" t="str">
        <f t="shared" si="6"/>
        <v/>
      </c>
      <c r="AB213" s="83">
        <f t="shared" si="7"/>
        <v>0</v>
      </c>
      <c r="AC213" s="83">
        <f t="shared" si="8"/>
        <v>0</v>
      </c>
      <c r="AD213" s="78"/>
      <c r="AE213" s="83">
        <f t="shared" si="9"/>
        <v>0</v>
      </c>
      <c r="AF213" s="78"/>
      <c r="AG213" s="78"/>
      <c r="AH213" s="78"/>
    </row>
    <row r="214" ht="15.75" customHeight="1">
      <c r="A214" s="78"/>
      <c r="B214" s="79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80" t="str">
        <f t="shared" si="1"/>
        <v/>
      </c>
      <c r="Q214" s="80" t="str">
        <f t="shared" si="2"/>
        <v/>
      </c>
      <c r="R214" s="81"/>
      <c r="S214" s="81"/>
      <c r="T214" s="81"/>
      <c r="U214" s="81"/>
      <c r="V214" s="81"/>
      <c r="W214" s="81"/>
      <c r="X214" s="82" t="str">
        <f t="shared" si="3"/>
        <v/>
      </c>
      <c r="Y214" s="82" t="str">
        <f t="shared" si="4"/>
        <v/>
      </c>
      <c r="Z214" s="82" t="str">
        <f t="shared" si="5"/>
        <v/>
      </c>
      <c r="AA214" s="82" t="str">
        <f t="shared" si="6"/>
        <v/>
      </c>
      <c r="AB214" s="83">
        <f t="shared" si="7"/>
        <v>0</v>
      </c>
      <c r="AC214" s="83">
        <f t="shared" si="8"/>
        <v>0</v>
      </c>
      <c r="AD214" s="78"/>
      <c r="AE214" s="83">
        <f t="shared" si="9"/>
        <v>0</v>
      </c>
      <c r="AF214" s="78"/>
      <c r="AG214" s="78"/>
      <c r="AH214" s="78"/>
    </row>
    <row r="215" ht="15.75" customHeight="1">
      <c r="A215" s="78"/>
      <c r="B215" s="79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80" t="str">
        <f t="shared" si="1"/>
        <v/>
      </c>
      <c r="Q215" s="80" t="str">
        <f t="shared" si="2"/>
        <v/>
      </c>
      <c r="R215" s="81"/>
      <c r="S215" s="81"/>
      <c r="T215" s="81"/>
      <c r="U215" s="81"/>
      <c r="V215" s="81"/>
      <c r="W215" s="81"/>
      <c r="X215" s="82" t="str">
        <f t="shared" si="3"/>
        <v/>
      </c>
      <c r="Y215" s="82" t="str">
        <f t="shared" si="4"/>
        <v/>
      </c>
      <c r="Z215" s="82" t="str">
        <f t="shared" si="5"/>
        <v/>
      </c>
      <c r="AA215" s="82" t="str">
        <f t="shared" si="6"/>
        <v/>
      </c>
      <c r="AB215" s="83">
        <f t="shared" si="7"/>
        <v>0</v>
      </c>
      <c r="AC215" s="83">
        <f t="shared" si="8"/>
        <v>0</v>
      </c>
      <c r="AD215" s="78"/>
      <c r="AE215" s="83">
        <f t="shared" si="9"/>
        <v>0</v>
      </c>
      <c r="AF215" s="78"/>
      <c r="AG215" s="78"/>
      <c r="AH215" s="78"/>
    </row>
    <row r="216" ht="15.75" customHeight="1">
      <c r="A216" s="78"/>
      <c r="B216" s="79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80" t="str">
        <f t="shared" si="1"/>
        <v/>
      </c>
      <c r="Q216" s="80" t="str">
        <f t="shared" si="2"/>
        <v/>
      </c>
      <c r="R216" s="81"/>
      <c r="S216" s="81"/>
      <c r="T216" s="81"/>
      <c r="U216" s="81"/>
      <c r="V216" s="81"/>
      <c r="W216" s="81"/>
      <c r="X216" s="82" t="str">
        <f t="shared" si="3"/>
        <v/>
      </c>
      <c r="Y216" s="82" t="str">
        <f t="shared" si="4"/>
        <v/>
      </c>
      <c r="Z216" s="82" t="str">
        <f t="shared" si="5"/>
        <v/>
      </c>
      <c r="AA216" s="82" t="str">
        <f t="shared" si="6"/>
        <v/>
      </c>
      <c r="AB216" s="83">
        <f t="shared" si="7"/>
        <v>0</v>
      </c>
      <c r="AC216" s="83">
        <f t="shared" si="8"/>
        <v>0</v>
      </c>
      <c r="AD216" s="78"/>
      <c r="AE216" s="83">
        <f t="shared" si="9"/>
        <v>0</v>
      </c>
      <c r="AF216" s="78"/>
      <c r="AG216" s="78"/>
      <c r="AH216" s="78"/>
    </row>
    <row r="217" ht="15.75" customHeight="1">
      <c r="A217" s="78"/>
      <c r="B217" s="79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80" t="str">
        <f t="shared" si="1"/>
        <v/>
      </c>
      <c r="Q217" s="80" t="str">
        <f t="shared" si="2"/>
        <v/>
      </c>
      <c r="R217" s="81"/>
      <c r="S217" s="81"/>
      <c r="T217" s="81"/>
      <c r="U217" s="81"/>
      <c r="V217" s="81"/>
      <c r="W217" s="81"/>
      <c r="X217" s="82" t="str">
        <f t="shared" si="3"/>
        <v/>
      </c>
      <c r="Y217" s="82" t="str">
        <f t="shared" si="4"/>
        <v/>
      </c>
      <c r="Z217" s="82" t="str">
        <f t="shared" si="5"/>
        <v/>
      </c>
      <c r="AA217" s="82" t="str">
        <f t="shared" si="6"/>
        <v/>
      </c>
      <c r="AB217" s="83">
        <f t="shared" si="7"/>
        <v>0</v>
      </c>
      <c r="AC217" s="83">
        <f t="shared" si="8"/>
        <v>0</v>
      </c>
      <c r="AD217" s="78"/>
      <c r="AE217" s="83">
        <f t="shared" si="9"/>
        <v>0</v>
      </c>
      <c r="AF217" s="78"/>
      <c r="AG217" s="78"/>
      <c r="AH217" s="78"/>
    </row>
    <row r="218" ht="15.75" customHeight="1">
      <c r="A218" s="78"/>
      <c r="B218" s="79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80" t="str">
        <f t="shared" si="1"/>
        <v/>
      </c>
      <c r="Q218" s="80" t="str">
        <f t="shared" si="2"/>
        <v/>
      </c>
      <c r="R218" s="81"/>
      <c r="S218" s="81"/>
      <c r="T218" s="81"/>
      <c r="U218" s="81"/>
      <c r="V218" s="81"/>
      <c r="W218" s="81"/>
      <c r="X218" s="82" t="str">
        <f t="shared" si="3"/>
        <v/>
      </c>
      <c r="Y218" s="82" t="str">
        <f t="shared" si="4"/>
        <v/>
      </c>
      <c r="Z218" s="82" t="str">
        <f t="shared" si="5"/>
        <v/>
      </c>
      <c r="AA218" s="82" t="str">
        <f t="shared" si="6"/>
        <v/>
      </c>
      <c r="AB218" s="83">
        <f t="shared" si="7"/>
        <v>0</v>
      </c>
      <c r="AC218" s="83">
        <f t="shared" si="8"/>
        <v>0</v>
      </c>
      <c r="AD218" s="78"/>
      <c r="AE218" s="83">
        <f t="shared" si="9"/>
        <v>0</v>
      </c>
      <c r="AF218" s="78"/>
      <c r="AG218" s="78"/>
      <c r="AH218" s="78"/>
    </row>
    <row r="219" ht="15.75" customHeight="1">
      <c r="A219" s="78"/>
      <c r="B219" s="79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80" t="str">
        <f t="shared" si="1"/>
        <v/>
      </c>
      <c r="Q219" s="80" t="str">
        <f t="shared" si="2"/>
        <v/>
      </c>
      <c r="R219" s="81"/>
      <c r="S219" s="81"/>
      <c r="T219" s="81"/>
      <c r="U219" s="81"/>
      <c r="V219" s="81"/>
      <c r="W219" s="81"/>
      <c r="X219" s="82" t="str">
        <f t="shared" si="3"/>
        <v/>
      </c>
      <c r="Y219" s="82" t="str">
        <f t="shared" si="4"/>
        <v/>
      </c>
      <c r="Z219" s="82" t="str">
        <f t="shared" si="5"/>
        <v/>
      </c>
      <c r="AA219" s="82" t="str">
        <f t="shared" si="6"/>
        <v/>
      </c>
      <c r="AB219" s="83">
        <f t="shared" si="7"/>
        <v>0</v>
      </c>
      <c r="AC219" s="83">
        <f t="shared" si="8"/>
        <v>0</v>
      </c>
      <c r="AD219" s="78"/>
      <c r="AE219" s="83">
        <f t="shared" si="9"/>
        <v>0</v>
      </c>
      <c r="AF219" s="78"/>
      <c r="AG219" s="78"/>
      <c r="AH219" s="78"/>
    </row>
    <row r="220" ht="15.75" customHeight="1">
      <c r="A220" s="78"/>
      <c r="B220" s="79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80" t="str">
        <f t="shared" si="1"/>
        <v/>
      </c>
      <c r="Q220" s="80" t="str">
        <f t="shared" si="2"/>
        <v/>
      </c>
      <c r="R220" s="81"/>
      <c r="S220" s="81"/>
      <c r="T220" s="81"/>
      <c r="U220" s="81"/>
      <c r="V220" s="81"/>
      <c r="W220" s="81"/>
      <c r="X220" s="82" t="str">
        <f t="shared" si="3"/>
        <v/>
      </c>
      <c r="Y220" s="82" t="str">
        <f t="shared" si="4"/>
        <v/>
      </c>
      <c r="Z220" s="82" t="str">
        <f t="shared" si="5"/>
        <v/>
      </c>
      <c r="AA220" s="82" t="str">
        <f t="shared" si="6"/>
        <v/>
      </c>
      <c r="AB220" s="83">
        <f t="shared" si="7"/>
        <v>0</v>
      </c>
      <c r="AC220" s="83">
        <f t="shared" si="8"/>
        <v>0</v>
      </c>
      <c r="AD220" s="78"/>
      <c r="AE220" s="83">
        <f t="shared" si="9"/>
        <v>0</v>
      </c>
      <c r="AF220" s="78"/>
      <c r="AG220" s="78"/>
      <c r="AH220" s="78"/>
    </row>
    <row r="221" ht="15.75" customHeight="1">
      <c r="A221" s="78"/>
      <c r="B221" s="79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80" t="str">
        <f t="shared" si="1"/>
        <v/>
      </c>
      <c r="Q221" s="80" t="str">
        <f t="shared" si="2"/>
        <v/>
      </c>
      <c r="R221" s="81"/>
      <c r="S221" s="81"/>
      <c r="T221" s="81"/>
      <c r="U221" s="81"/>
      <c r="V221" s="81"/>
      <c r="W221" s="81"/>
      <c r="X221" s="82" t="str">
        <f t="shared" si="3"/>
        <v/>
      </c>
      <c r="Y221" s="82" t="str">
        <f t="shared" si="4"/>
        <v/>
      </c>
      <c r="Z221" s="82" t="str">
        <f t="shared" si="5"/>
        <v/>
      </c>
      <c r="AA221" s="82" t="str">
        <f t="shared" si="6"/>
        <v/>
      </c>
      <c r="AB221" s="83">
        <f t="shared" si="7"/>
        <v>0</v>
      </c>
      <c r="AC221" s="83">
        <f t="shared" si="8"/>
        <v>0</v>
      </c>
      <c r="AD221" s="78"/>
      <c r="AE221" s="83">
        <f t="shared" si="9"/>
        <v>0</v>
      </c>
      <c r="AF221" s="78"/>
      <c r="AG221" s="78"/>
      <c r="AH221" s="78"/>
    </row>
    <row r="222" ht="15.75" customHeight="1">
      <c r="A222" s="78"/>
      <c r="B222" s="79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80" t="str">
        <f t="shared" si="1"/>
        <v/>
      </c>
      <c r="Q222" s="80" t="str">
        <f t="shared" si="2"/>
        <v/>
      </c>
      <c r="R222" s="81"/>
      <c r="S222" s="81"/>
      <c r="T222" s="81"/>
      <c r="U222" s="81"/>
      <c r="V222" s="81"/>
      <c r="W222" s="81"/>
      <c r="X222" s="82" t="str">
        <f t="shared" si="3"/>
        <v/>
      </c>
      <c r="Y222" s="82" t="str">
        <f t="shared" si="4"/>
        <v/>
      </c>
      <c r="Z222" s="82" t="str">
        <f t="shared" si="5"/>
        <v/>
      </c>
      <c r="AA222" s="82" t="str">
        <f t="shared" si="6"/>
        <v/>
      </c>
      <c r="AB222" s="83">
        <f t="shared" si="7"/>
        <v>0</v>
      </c>
      <c r="AC222" s="83">
        <f t="shared" si="8"/>
        <v>0</v>
      </c>
      <c r="AD222" s="78"/>
      <c r="AE222" s="83">
        <f t="shared" si="9"/>
        <v>0</v>
      </c>
      <c r="AF222" s="78"/>
      <c r="AG222" s="78"/>
      <c r="AH222" s="78"/>
    </row>
    <row r="223" ht="15.75" customHeight="1">
      <c r="A223" s="78"/>
      <c r="B223" s="79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80" t="str">
        <f t="shared" si="1"/>
        <v/>
      </c>
      <c r="Q223" s="80" t="str">
        <f t="shared" si="2"/>
        <v/>
      </c>
      <c r="R223" s="81"/>
      <c r="S223" s="81"/>
      <c r="T223" s="81"/>
      <c r="U223" s="81"/>
      <c r="V223" s="81"/>
      <c r="W223" s="81"/>
      <c r="X223" s="82" t="str">
        <f t="shared" si="3"/>
        <v/>
      </c>
      <c r="Y223" s="82" t="str">
        <f t="shared" si="4"/>
        <v/>
      </c>
      <c r="Z223" s="82" t="str">
        <f t="shared" si="5"/>
        <v/>
      </c>
      <c r="AA223" s="82" t="str">
        <f t="shared" si="6"/>
        <v/>
      </c>
      <c r="AB223" s="83">
        <f t="shared" si="7"/>
        <v>0</v>
      </c>
      <c r="AC223" s="83">
        <f t="shared" si="8"/>
        <v>0</v>
      </c>
      <c r="AD223" s="78"/>
      <c r="AE223" s="83">
        <f t="shared" si="9"/>
        <v>0</v>
      </c>
      <c r="AF223" s="78"/>
      <c r="AG223" s="78"/>
      <c r="AH223" s="78"/>
    </row>
    <row r="224" ht="15.75" customHeight="1">
      <c r="A224" s="78"/>
      <c r="B224" s="79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80" t="str">
        <f t="shared" si="1"/>
        <v/>
      </c>
      <c r="Q224" s="80" t="str">
        <f t="shared" si="2"/>
        <v/>
      </c>
      <c r="R224" s="81"/>
      <c r="S224" s="81"/>
      <c r="T224" s="81"/>
      <c r="U224" s="81"/>
      <c r="V224" s="81"/>
      <c r="W224" s="81"/>
      <c r="X224" s="82" t="str">
        <f t="shared" si="3"/>
        <v/>
      </c>
      <c r="Y224" s="82" t="str">
        <f t="shared" si="4"/>
        <v/>
      </c>
      <c r="Z224" s="82" t="str">
        <f t="shared" si="5"/>
        <v/>
      </c>
      <c r="AA224" s="82" t="str">
        <f t="shared" si="6"/>
        <v/>
      </c>
      <c r="AB224" s="83">
        <f t="shared" si="7"/>
        <v>0</v>
      </c>
      <c r="AC224" s="83">
        <f t="shared" si="8"/>
        <v>0</v>
      </c>
      <c r="AD224" s="78"/>
      <c r="AE224" s="83">
        <f t="shared" si="9"/>
        <v>0</v>
      </c>
      <c r="AF224" s="78"/>
      <c r="AG224" s="78"/>
      <c r="AH224" s="78"/>
    </row>
    <row r="225" ht="15.75" customHeight="1">
      <c r="A225" s="78"/>
      <c r="B225" s="79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80" t="str">
        <f t="shared" si="1"/>
        <v/>
      </c>
      <c r="Q225" s="80" t="str">
        <f t="shared" si="2"/>
        <v/>
      </c>
      <c r="R225" s="81"/>
      <c r="S225" s="81"/>
      <c r="T225" s="81"/>
      <c r="U225" s="81"/>
      <c r="V225" s="81"/>
      <c r="W225" s="81"/>
      <c r="X225" s="82" t="str">
        <f t="shared" si="3"/>
        <v/>
      </c>
      <c r="Y225" s="82" t="str">
        <f t="shared" si="4"/>
        <v/>
      </c>
      <c r="Z225" s="82" t="str">
        <f t="shared" si="5"/>
        <v/>
      </c>
      <c r="AA225" s="82" t="str">
        <f t="shared" si="6"/>
        <v/>
      </c>
      <c r="AB225" s="83">
        <f t="shared" si="7"/>
        <v>0</v>
      </c>
      <c r="AC225" s="83">
        <f t="shared" si="8"/>
        <v>0</v>
      </c>
      <c r="AD225" s="78"/>
      <c r="AE225" s="83">
        <f t="shared" si="9"/>
        <v>0</v>
      </c>
      <c r="AF225" s="78"/>
      <c r="AG225" s="78"/>
      <c r="AH225" s="78"/>
    </row>
    <row r="226" ht="15.75" customHeight="1">
      <c r="A226" s="78"/>
      <c r="B226" s="79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80" t="str">
        <f t="shared" si="1"/>
        <v/>
      </c>
      <c r="Q226" s="80" t="str">
        <f t="shared" si="2"/>
        <v/>
      </c>
      <c r="R226" s="81"/>
      <c r="S226" s="81"/>
      <c r="T226" s="81"/>
      <c r="U226" s="81"/>
      <c r="V226" s="81"/>
      <c r="W226" s="81"/>
      <c r="X226" s="82" t="str">
        <f t="shared" si="3"/>
        <v/>
      </c>
      <c r="Y226" s="82" t="str">
        <f t="shared" si="4"/>
        <v/>
      </c>
      <c r="Z226" s="82" t="str">
        <f t="shared" si="5"/>
        <v/>
      </c>
      <c r="AA226" s="82" t="str">
        <f t="shared" si="6"/>
        <v/>
      </c>
      <c r="AB226" s="83">
        <f t="shared" si="7"/>
        <v>0</v>
      </c>
      <c r="AC226" s="83">
        <f t="shared" si="8"/>
        <v>0</v>
      </c>
      <c r="AD226" s="78"/>
      <c r="AE226" s="83">
        <f t="shared" si="9"/>
        <v>0</v>
      </c>
      <c r="AF226" s="78"/>
      <c r="AG226" s="78"/>
      <c r="AH226" s="78"/>
    </row>
    <row r="227" ht="15.75" customHeight="1">
      <c r="A227" s="78"/>
      <c r="B227" s="79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80" t="str">
        <f t="shared" si="1"/>
        <v/>
      </c>
      <c r="Q227" s="80" t="str">
        <f t="shared" si="2"/>
        <v/>
      </c>
      <c r="R227" s="81"/>
      <c r="S227" s="81"/>
      <c r="T227" s="81"/>
      <c r="U227" s="81"/>
      <c r="V227" s="81"/>
      <c r="W227" s="81"/>
      <c r="X227" s="82" t="str">
        <f t="shared" si="3"/>
        <v/>
      </c>
      <c r="Y227" s="82" t="str">
        <f t="shared" si="4"/>
        <v/>
      </c>
      <c r="Z227" s="82" t="str">
        <f t="shared" si="5"/>
        <v/>
      </c>
      <c r="AA227" s="82" t="str">
        <f t="shared" si="6"/>
        <v/>
      </c>
      <c r="AB227" s="83">
        <f t="shared" si="7"/>
        <v>0</v>
      </c>
      <c r="AC227" s="83">
        <f t="shared" si="8"/>
        <v>0</v>
      </c>
      <c r="AD227" s="78"/>
      <c r="AE227" s="83">
        <f t="shared" si="9"/>
        <v>0</v>
      </c>
      <c r="AF227" s="78"/>
      <c r="AG227" s="78"/>
      <c r="AH227" s="78"/>
    </row>
    <row r="228" ht="15.75" customHeight="1">
      <c r="A228" s="78"/>
      <c r="B228" s="79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80" t="str">
        <f t="shared" si="1"/>
        <v/>
      </c>
      <c r="Q228" s="80" t="str">
        <f t="shared" si="2"/>
        <v/>
      </c>
      <c r="R228" s="81"/>
      <c r="S228" s="81"/>
      <c r="T228" s="81"/>
      <c r="U228" s="81"/>
      <c r="V228" s="81"/>
      <c r="W228" s="81"/>
      <c r="X228" s="82" t="str">
        <f t="shared" si="3"/>
        <v/>
      </c>
      <c r="Y228" s="82" t="str">
        <f t="shared" si="4"/>
        <v/>
      </c>
      <c r="Z228" s="82" t="str">
        <f t="shared" si="5"/>
        <v/>
      </c>
      <c r="AA228" s="82" t="str">
        <f t="shared" si="6"/>
        <v/>
      </c>
      <c r="AB228" s="83">
        <f t="shared" si="7"/>
        <v>0</v>
      </c>
      <c r="AC228" s="83">
        <f t="shared" si="8"/>
        <v>0</v>
      </c>
      <c r="AD228" s="78"/>
      <c r="AE228" s="83">
        <f t="shared" si="9"/>
        <v>0</v>
      </c>
      <c r="AF228" s="78"/>
      <c r="AG228" s="78"/>
      <c r="AH228" s="78"/>
    </row>
    <row r="229" ht="15.75" customHeight="1">
      <c r="A229" s="78"/>
      <c r="B229" s="79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80" t="str">
        <f t="shared" si="1"/>
        <v/>
      </c>
      <c r="Q229" s="80" t="str">
        <f t="shared" si="2"/>
        <v/>
      </c>
      <c r="R229" s="81"/>
      <c r="S229" s="81"/>
      <c r="T229" s="81"/>
      <c r="U229" s="81"/>
      <c r="V229" s="81"/>
      <c r="W229" s="81"/>
      <c r="X229" s="82" t="str">
        <f t="shared" si="3"/>
        <v/>
      </c>
      <c r="Y229" s="82" t="str">
        <f t="shared" si="4"/>
        <v/>
      </c>
      <c r="Z229" s="82" t="str">
        <f t="shared" si="5"/>
        <v/>
      </c>
      <c r="AA229" s="82" t="str">
        <f t="shared" si="6"/>
        <v/>
      </c>
      <c r="AB229" s="83">
        <f t="shared" si="7"/>
        <v>0</v>
      </c>
      <c r="AC229" s="83">
        <f t="shared" si="8"/>
        <v>0</v>
      </c>
      <c r="AD229" s="78"/>
      <c r="AE229" s="83">
        <f t="shared" si="9"/>
        <v>0</v>
      </c>
      <c r="AF229" s="78"/>
      <c r="AG229" s="78"/>
      <c r="AH229" s="78"/>
    </row>
    <row r="230" ht="15.75" customHeight="1">
      <c r="A230" s="78"/>
      <c r="B230" s="79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80" t="str">
        <f t="shared" si="1"/>
        <v/>
      </c>
      <c r="Q230" s="80" t="str">
        <f t="shared" si="2"/>
        <v/>
      </c>
      <c r="R230" s="81"/>
      <c r="S230" s="81"/>
      <c r="T230" s="81"/>
      <c r="U230" s="81"/>
      <c r="V230" s="81"/>
      <c r="W230" s="81"/>
      <c r="X230" s="82" t="str">
        <f t="shared" si="3"/>
        <v/>
      </c>
      <c r="Y230" s="82" t="str">
        <f t="shared" si="4"/>
        <v/>
      </c>
      <c r="Z230" s="82" t="str">
        <f t="shared" si="5"/>
        <v/>
      </c>
      <c r="AA230" s="82" t="str">
        <f t="shared" si="6"/>
        <v/>
      </c>
      <c r="AB230" s="83">
        <f t="shared" si="7"/>
        <v>0</v>
      </c>
      <c r="AC230" s="83">
        <f t="shared" si="8"/>
        <v>0</v>
      </c>
      <c r="AD230" s="78"/>
      <c r="AE230" s="83">
        <f t="shared" si="9"/>
        <v>0</v>
      </c>
      <c r="AF230" s="78"/>
      <c r="AG230" s="78"/>
      <c r="AH230" s="78"/>
    </row>
    <row r="231" ht="15.75" customHeight="1">
      <c r="A231" s="78"/>
      <c r="B231" s="79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80" t="str">
        <f t="shared" si="1"/>
        <v/>
      </c>
      <c r="Q231" s="80" t="str">
        <f t="shared" si="2"/>
        <v/>
      </c>
      <c r="R231" s="81"/>
      <c r="S231" s="81"/>
      <c r="T231" s="81"/>
      <c r="U231" s="81"/>
      <c r="V231" s="81"/>
      <c r="W231" s="81"/>
      <c r="X231" s="82" t="str">
        <f t="shared" si="3"/>
        <v/>
      </c>
      <c r="Y231" s="82" t="str">
        <f t="shared" si="4"/>
        <v/>
      </c>
      <c r="Z231" s="82" t="str">
        <f t="shared" si="5"/>
        <v/>
      </c>
      <c r="AA231" s="82" t="str">
        <f t="shared" si="6"/>
        <v/>
      </c>
      <c r="AB231" s="83">
        <f t="shared" si="7"/>
        <v>0</v>
      </c>
      <c r="AC231" s="83">
        <f t="shared" si="8"/>
        <v>0</v>
      </c>
      <c r="AD231" s="78"/>
      <c r="AE231" s="83">
        <f t="shared" si="9"/>
        <v>0</v>
      </c>
      <c r="AF231" s="78"/>
      <c r="AG231" s="78"/>
      <c r="AH231" s="78"/>
    </row>
    <row r="232" ht="15.75" customHeight="1">
      <c r="A232" s="78"/>
      <c r="B232" s="79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80" t="str">
        <f t="shared" si="1"/>
        <v/>
      </c>
      <c r="Q232" s="80" t="str">
        <f t="shared" si="2"/>
        <v/>
      </c>
      <c r="R232" s="81"/>
      <c r="S232" s="81"/>
      <c r="T232" s="81"/>
      <c r="U232" s="81"/>
      <c r="V232" s="81"/>
      <c r="W232" s="81"/>
      <c r="X232" s="82" t="str">
        <f t="shared" si="3"/>
        <v/>
      </c>
      <c r="Y232" s="82" t="str">
        <f t="shared" si="4"/>
        <v/>
      </c>
      <c r="Z232" s="82" t="str">
        <f t="shared" si="5"/>
        <v/>
      </c>
      <c r="AA232" s="82" t="str">
        <f t="shared" si="6"/>
        <v/>
      </c>
      <c r="AB232" s="83">
        <f t="shared" si="7"/>
        <v>0</v>
      </c>
      <c r="AC232" s="83">
        <f t="shared" si="8"/>
        <v>0</v>
      </c>
      <c r="AD232" s="78"/>
      <c r="AE232" s="83">
        <f t="shared" si="9"/>
        <v>0</v>
      </c>
      <c r="AF232" s="78"/>
      <c r="AG232" s="78"/>
      <c r="AH232" s="78"/>
    </row>
    <row r="233" ht="15.75" customHeight="1">
      <c r="A233" s="78"/>
      <c r="B233" s="79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80" t="str">
        <f t="shared" si="1"/>
        <v/>
      </c>
      <c r="Q233" s="80" t="str">
        <f t="shared" si="2"/>
        <v/>
      </c>
      <c r="R233" s="81"/>
      <c r="S233" s="81"/>
      <c r="T233" s="81"/>
      <c r="U233" s="81"/>
      <c r="V233" s="81"/>
      <c r="W233" s="81"/>
      <c r="X233" s="82" t="str">
        <f t="shared" si="3"/>
        <v/>
      </c>
      <c r="Y233" s="82" t="str">
        <f t="shared" si="4"/>
        <v/>
      </c>
      <c r="Z233" s="82" t="str">
        <f t="shared" si="5"/>
        <v/>
      </c>
      <c r="AA233" s="82" t="str">
        <f t="shared" si="6"/>
        <v/>
      </c>
      <c r="AB233" s="83">
        <f t="shared" si="7"/>
        <v>0</v>
      </c>
      <c r="AC233" s="83">
        <f t="shared" si="8"/>
        <v>0</v>
      </c>
      <c r="AD233" s="78"/>
      <c r="AE233" s="83">
        <f t="shared" si="9"/>
        <v>0</v>
      </c>
      <c r="AF233" s="78"/>
      <c r="AG233" s="78"/>
      <c r="AH233" s="78"/>
    </row>
    <row r="234" ht="15.75" customHeight="1">
      <c r="A234" s="78"/>
      <c r="B234" s="79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80" t="str">
        <f t="shared" si="1"/>
        <v/>
      </c>
      <c r="Q234" s="80" t="str">
        <f t="shared" si="2"/>
        <v/>
      </c>
      <c r="R234" s="81"/>
      <c r="S234" s="81"/>
      <c r="T234" s="81"/>
      <c r="U234" s="81"/>
      <c r="V234" s="81"/>
      <c r="W234" s="81"/>
      <c r="X234" s="82" t="str">
        <f t="shared" si="3"/>
        <v/>
      </c>
      <c r="Y234" s="82" t="str">
        <f t="shared" si="4"/>
        <v/>
      </c>
      <c r="Z234" s="82" t="str">
        <f t="shared" si="5"/>
        <v/>
      </c>
      <c r="AA234" s="82" t="str">
        <f t="shared" si="6"/>
        <v/>
      </c>
      <c r="AB234" s="83">
        <f t="shared" si="7"/>
        <v>0</v>
      </c>
      <c r="AC234" s="83">
        <f t="shared" si="8"/>
        <v>0</v>
      </c>
      <c r="AD234" s="78"/>
      <c r="AE234" s="83">
        <f t="shared" si="9"/>
        <v>0</v>
      </c>
      <c r="AF234" s="78"/>
      <c r="AG234" s="78"/>
      <c r="AH234" s="78"/>
    </row>
    <row r="235" ht="15.75" customHeight="1">
      <c r="A235" s="78"/>
      <c r="B235" s="79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80" t="str">
        <f t="shared" si="1"/>
        <v/>
      </c>
      <c r="Q235" s="80" t="str">
        <f t="shared" si="2"/>
        <v/>
      </c>
      <c r="R235" s="81"/>
      <c r="S235" s="81"/>
      <c r="T235" s="81"/>
      <c r="U235" s="81"/>
      <c r="V235" s="81"/>
      <c r="W235" s="81"/>
      <c r="X235" s="82" t="str">
        <f t="shared" si="3"/>
        <v/>
      </c>
      <c r="Y235" s="82" t="str">
        <f t="shared" si="4"/>
        <v/>
      </c>
      <c r="Z235" s="82" t="str">
        <f t="shared" si="5"/>
        <v/>
      </c>
      <c r="AA235" s="82" t="str">
        <f t="shared" si="6"/>
        <v/>
      </c>
      <c r="AB235" s="83">
        <f t="shared" si="7"/>
        <v>0</v>
      </c>
      <c r="AC235" s="83">
        <f t="shared" si="8"/>
        <v>0</v>
      </c>
      <c r="AD235" s="78"/>
      <c r="AE235" s="83">
        <f t="shared" si="9"/>
        <v>0</v>
      </c>
      <c r="AF235" s="78"/>
      <c r="AG235" s="78"/>
      <c r="AH235" s="78"/>
    </row>
    <row r="236" ht="15.75" customHeight="1">
      <c r="A236" s="78"/>
      <c r="B236" s="79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80" t="str">
        <f t="shared" si="1"/>
        <v/>
      </c>
      <c r="Q236" s="80" t="str">
        <f t="shared" si="2"/>
        <v/>
      </c>
      <c r="R236" s="81"/>
      <c r="S236" s="81"/>
      <c r="T236" s="81"/>
      <c r="U236" s="81"/>
      <c r="V236" s="81"/>
      <c r="W236" s="81"/>
      <c r="X236" s="82" t="str">
        <f t="shared" si="3"/>
        <v/>
      </c>
      <c r="Y236" s="82" t="str">
        <f t="shared" si="4"/>
        <v/>
      </c>
      <c r="Z236" s="82" t="str">
        <f t="shared" si="5"/>
        <v/>
      </c>
      <c r="AA236" s="82" t="str">
        <f t="shared" si="6"/>
        <v/>
      </c>
      <c r="AB236" s="83">
        <f t="shared" si="7"/>
        <v>0</v>
      </c>
      <c r="AC236" s="83">
        <f t="shared" si="8"/>
        <v>0</v>
      </c>
      <c r="AD236" s="78"/>
      <c r="AE236" s="83">
        <f t="shared" si="9"/>
        <v>0</v>
      </c>
      <c r="AF236" s="78"/>
      <c r="AG236" s="78"/>
      <c r="AH236" s="78"/>
    </row>
    <row r="237" ht="15.75" customHeight="1">
      <c r="A237" s="78"/>
      <c r="B237" s="79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80" t="str">
        <f t="shared" si="1"/>
        <v/>
      </c>
      <c r="Q237" s="80" t="str">
        <f t="shared" si="2"/>
        <v/>
      </c>
      <c r="R237" s="81"/>
      <c r="S237" s="81"/>
      <c r="T237" s="81"/>
      <c r="U237" s="81"/>
      <c r="V237" s="81"/>
      <c r="W237" s="81"/>
      <c r="X237" s="82" t="str">
        <f t="shared" si="3"/>
        <v/>
      </c>
      <c r="Y237" s="82" t="str">
        <f t="shared" si="4"/>
        <v/>
      </c>
      <c r="Z237" s="82" t="str">
        <f t="shared" si="5"/>
        <v/>
      </c>
      <c r="AA237" s="82" t="str">
        <f t="shared" si="6"/>
        <v/>
      </c>
      <c r="AB237" s="83">
        <f t="shared" si="7"/>
        <v>0</v>
      </c>
      <c r="AC237" s="83">
        <f t="shared" si="8"/>
        <v>0</v>
      </c>
      <c r="AD237" s="78"/>
      <c r="AE237" s="83">
        <f t="shared" si="9"/>
        <v>0</v>
      </c>
      <c r="AF237" s="78"/>
      <c r="AG237" s="78"/>
      <c r="AH237" s="78"/>
    </row>
    <row r="238" ht="15.75" customHeight="1">
      <c r="A238" s="78"/>
      <c r="B238" s="79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80" t="str">
        <f t="shared" si="1"/>
        <v/>
      </c>
      <c r="Q238" s="80" t="str">
        <f t="shared" si="2"/>
        <v/>
      </c>
      <c r="R238" s="81"/>
      <c r="S238" s="81"/>
      <c r="T238" s="81"/>
      <c r="U238" s="81"/>
      <c r="V238" s="81"/>
      <c r="W238" s="81"/>
      <c r="X238" s="82" t="str">
        <f t="shared" si="3"/>
        <v/>
      </c>
      <c r="Y238" s="82" t="str">
        <f t="shared" si="4"/>
        <v/>
      </c>
      <c r="Z238" s="82" t="str">
        <f t="shared" si="5"/>
        <v/>
      </c>
      <c r="AA238" s="82" t="str">
        <f t="shared" si="6"/>
        <v/>
      </c>
      <c r="AB238" s="83">
        <f t="shared" si="7"/>
        <v>0</v>
      </c>
      <c r="AC238" s="83">
        <f t="shared" si="8"/>
        <v>0</v>
      </c>
      <c r="AD238" s="78"/>
      <c r="AE238" s="83">
        <f t="shared" si="9"/>
        <v>0</v>
      </c>
      <c r="AF238" s="78"/>
      <c r="AG238" s="78"/>
      <c r="AH238" s="78"/>
    </row>
    <row r="239" ht="15.75" customHeight="1">
      <c r="A239" s="78"/>
      <c r="B239" s="79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80" t="str">
        <f t="shared" si="1"/>
        <v/>
      </c>
      <c r="Q239" s="80" t="str">
        <f t="shared" si="2"/>
        <v/>
      </c>
      <c r="R239" s="81"/>
      <c r="S239" s="81"/>
      <c r="T239" s="81"/>
      <c r="U239" s="81"/>
      <c r="V239" s="81"/>
      <c r="W239" s="81"/>
      <c r="X239" s="82" t="str">
        <f t="shared" si="3"/>
        <v/>
      </c>
      <c r="Y239" s="82" t="str">
        <f t="shared" si="4"/>
        <v/>
      </c>
      <c r="Z239" s="82" t="str">
        <f t="shared" si="5"/>
        <v/>
      </c>
      <c r="AA239" s="82" t="str">
        <f t="shared" si="6"/>
        <v/>
      </c>
      <c r="AB239" s="83">
        <f t="shared" si="7"/>
        <v>0</v>
      </c>
      <c r="AC239" s="83">
        <f t="shared" si="8"/>
        <v>0</v>
      </c>
      <c r="AD239" s="78"/>
      <c r="AE239" s="83">
        <f t="shared" si="9"/>
        <v>0</v>
      </c>
      <c r="AF239" s="78"/>
      <c r="AG239" s="78"/>
      <c r="AH239" s="78"/>
    </row>
    <row r="240" ht="15.75" customHeight="1">
      <c r="A240" s="78"/>
      <c r="B240" s="79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80" t="str">
        <f t="shared" si="1"/>
        <v/>
      </c>
      <c r="Q240" s="80" t="str">
        <f t="shared" si="2"/>
        <v/>
      </c>
      <c r="R240" s="81"/>
      <c r="S240" s="81"/>
      <c r="T240" s="81"/>
      <c r="U240" s="81"/>
      <c r="V240" s="81"/>
      <c r="W240" s="81"/>
      <c r="X240" s="82" t="str">
        <f t="shared" si="3"/>
        <v/>
      </c>
      <c r="Y240" s="82" t="str">
        <f t="shared" si="4"/>
        <v/>
      </c>
      <c r="Z240" s="82" t="str">
        <f t="shared" si="5"/>
        <v/>
      </c>
      <c r="AA240" s="82" t="str">
        <f t="shared" si="6"/>
        <v/>
      </c>
      <c r="AB240" s="83">
        <f t="shared" si="7"/>
        <v>0</v>
      </c>
      <c r="AC240" s="83">
        <f t="shared" si="8"/>
        <v>0</v>
      </c>
      <c r="AD240" s="78"/>
      <c r="AE240" s="83">
        <f t="shared" si="9"/>
        <v>0</v>
      </c>
      <c r="AF240" s="78"/>
      <c r="AG240" s="78"/>
      <c r="AH240" s="78"/>
    </row>
    <row r="241" ht="15.75" customHeight="1">
      <c r="A241" s="78"/>
      <c r="B241" s="79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80" t="str">
        <f t="shared" si="1"/>
        <v/>
      </c>
      <c r="Q241" s="80" t="str">
        <f t="shared" si="2"/>
        <v/>
      </c>
      <c r="R241" s="81"/>
      <c r="S241" s="81"/>
      <c r="T241" s="81"/>
      <c r="U241" s="81"/>
      <c r="V241" s="81"/>
      <c r="W241" s="81"/>
      <c r="X241" s="82" t="str">
        <f t="shared" si="3"/>
        <v/>
      </c>
      <c r="Y241" s="82" t="str">
        <f t="shared" si="4"/>
        <v/>
      </c>
      <c r="Z241" s="82" t="str">
        <f t="shared" si="5"/>
        <v/>
      </c>
      <c r="AA241" s="82" t="str">
        <f t="shared" si="6"/>
        <v/>
      </c>
      <c r="AB241" s="83">
        <f t="shared" si="7"/>
        <v>0</v>
      </c>
      <c r="AC241" s="83">
        <f t="shared" si="8"/>
        <v>0</v>
      </c>
      <c r="AD241" s="78"/>
      <c r="AE241" s="83">
        <f t="shared" si="9"/>
        <v>0</v>
      </c>
      <c r="AF241" s="78"/>
      <c r="AG241" s="78"/>
      <c r="AH241" s="78"/>
    </row>
    <row r="242" ht="15.75" customHeight="1">
      <c r="A242" s="78"/>
      <c r="B242" s="79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80" t="str">
        <f t="shared" si="1"/>
        <v/>
      </c>
      <c r="Q242" s="80" t="str">
        <f t="shared" si="2"/>
        <v/>
      </c>
      <c r="R242" s="81"/>
      <c r="S242" s="81"/>
      <c r="T242" s="81"/>
      <c r="U242" s="81"/>
      <c r="V242" s="81"/>
      <c r="W242" s="81"/>
      <c r="X242" s="82" t="str">
        <f t="shared" si="3"/>
        <v/>
      </c>
      <c r="Y242" s="82" t="str">
        <f t="shared" si="4"/>
        <v/>
      </c>
      <c r="Z242" s="82" t="str">
        <f t="shared" si="5"/>
        <v/>
      </c>
      <c r="AA242" s="82" t="str">
        <f t="shared" si="6"/>
        <v/>
      </c>
      <c r="AB242" s="83">
        <f t="shared" si="7"/>
        <v>0</v>
      </c>
      <c r="AC242" s="83">
        <f t="shared" si="8"/>
        <v>0</v>
      </c>
      <c r="AD242" s="78"/>
      <c r="AE242" s="83">
        <f t="shared" si="9"/>
        <v>0</v>
      </c>
      <c r="AF242" s="78"/>
      <c r="AG242" s="78"/>
      <c r="AH242" s="78"/>
    </row>
    <row r="243" ht="15.75" customHeight="1">
      <c r="A243" s="78"/>
      <c r="B243" s="79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80" t="str">
        <f t="shared" si="1"/>
        <v/>
      </c>
      <c r="Q243" s="80" t="str">
        <f t="shared" si="2"/>
        <v/>
      </c>
      <c r="R243" s="81"/>
      <c r="S243" s="81"/>
      <c r="T243" s="81"/>
      <c r="U243" s="81"/>
      <c r="V243" s="81"/>
      <c r="W243" s="81"/>
      <c r="X243" s="82" t="str">
        <f t="shared" si="3"/>
        <v/>
      </c>
      <c r="Y243" s="82" t="str">
        <f t="shared" si="4"/>
        <v/>
      </c>
      <c r="Z243" s="82" t="str">
        <f t="shared" si="5"/>
        <v/>
      </c>
      <c r="AA243" s="82" t="str">
        <f t="shared" si="6"/>
        <v/>
      </c>
      <c r="AB243" s="83">
        <f t="shared" si="7"/>
        <v>0</v>
      </c>
      <c r="AC243" s="83">
        <f t="shared" si="8"/>
        <v>0</v>
      </c>
      <c r="AD243" s="78"/>
      <c r="AE243" s="83">
        <f t="shared" si="9"/>
        <v>0</v>
      </c>
      <c r="AF243" s="78"/>
      <c r="AG243" s="78"/>
      <c r="AH243" s="78"/>
    </row>
    <row r="244" ht="15.75" customHeight="1">
      <c r="A244" s="78"/>
      <c r="B244" s="79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80" t="str">
        <f t="shared" si="1"/>
        <v/>
      </c>
      <c r="Q244" s="80" t="str">
        <f t="shared" si="2"/>
        <v/>
      </c>
      <c r="R244" s="81"/>
      <c r="S244" s="81"/>
      <c r="T244" s="81"/>
      <c r="U244" s="81"/>
      <c r="V244" s="81"/>
      <c r="W244" s="81"/>
      <c r="X244" s="82" t="str">
        <f t="shared" si="3"/>
        <v/>
      </c>
      <c r="Y244" s="82" t="str">
        <f t="shared" si="4"/>
        <v/>
      </c>
      <c r="Z244" s="82" t="str">
        <f t="shared" si="5"/>
        <v/>
      </c>
      <c r="AA244" s="82" t="str">
        <f t="shared" si="6"/>
        <v/>
      </c>
      <c r="AB244" s="83">
        <f t="shared" si="7"/>
        <v>0</v>
      </c>
      <c r="AC244" s="83">
        <f t="shared" si="8"/>
        <v>0</v>
      </c>
      <c r="AD244" s="78"/>
      <c r="AE244" s="83">
        <f t="shared" si="9"/>
        <v>0</v>
      </c>
      <c r="AF244" s="78"/>
      <c r="AG244" s="78"/>
      <c r="AH244" s="78"/>
    </row>
    <row r="245" ht="15.75" customHeight="1">
      <c r="A245" s="78"/>
      <c r="B245" s="79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80" t="str">
        <f t="shared" si="1"/>
        <v/>
      </c>
      <c r="Q245" s="80" t="str">
        <f t="shared" si="2"/>
        <v/>
      </c>
      <c r="R245" s="81"/>
      <c r="S245" s="81"/>
      <c r="T245" s="81"/>
      <c r="U245" s="81"/>
      <c r="V245" s="81"/>
      <c r="W245" s="81"/>
      <c r="X245" s="82" t="str">
        <f t="shared" si="3"/>
        <v/>
      </c>
      <c r="Y245" s="82" t="str">
        <f t="shared" si="4"/>
        <v/>
      </c>
      <c r="Z245" s="82" t="str">
        <f t="shared" si="5"/>
        <v/>
      </c>
      <c r="AA245" s="82" t="str">
        <f t="shared" si="6"/>
        <v/>
      </c>
      <c r="AB245" s="83">
        <f t="shared" si="7"/>
        <v>0</v>
      </c>
      <c r="AC245" s="83">
        <f t="shared" si="8"/>
        <v>0</v>
      </c>
      <c r="AD245" s="78"/>
      <c r="AE245" s="83">
        <f t="shared" si="9"/>
        <v>0</v>
      </c>
      <c r="AF245" s="78"/>
      <c r="AG245" s="78"/>
      <c r="AH245" s="78"/>
    </row>
    <row r="246" ht="15.75" customHeight="1">
      <c r="A246" s="78"/>
      <c r="B246" s="79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80" t="str">
        <f t="shared" si="1"/>
        <v/>
      </c>
      <c r="Q246" s="80" t="str">
        <f t="shared" si="2"/>
        <v/>
      </c>
      <c r="R246" s="81"/>
      <c r="S246" s="81"/>
      <c r="T246" s="81"/>
      <c r="U246" s="81"/>
      <c r="V246" s="81"/>
      <c r="W246" s="81"/>
      <c r="X246" s="82" t="str">
        <f t="shared" si="3"/>
        <v/>
      </c>
      <c r="Y246" s="82" t="str">
        <f t="shared" si="4"/>
        <v/>
      </c>
      <c r="Z246" s="82" t="str">
        <f t="shared" si="5"/>
        <v/>
      </c>
      <c r="AA246" s="82" t="str">
        <f t="shared" si="6"/>
        <v/>
      </c>
      <c r="AB246" s="83">
        <f t="shared" si="7"/>
        <v>0</v>
      </c>
      <c r="AC246" s="83">
        <f t="shared" si="8"/>
        <v>0</v>
      </c>
      <c r="AD246" s="78"/>
      <c r="AE246" s="83">
        <f t="shared" si="9"/>
        <v>0</v>
      </c>
      <c r="AF246" s="78"/>
      <c r="AG246" s="78"/>
      <c r="AH246" s="78"/>
    </row>
    <row r="247" ht="15.75" customHeight="1">
      <c r="A247" s="78"/>
      <c r="B247" s="79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80" t="str">
        <f t="shared" si="1"/>
        <v/>
      </c>
      <c r="Q247" s="80" t="str">
        <f t="shared" si="2"/>
        <v/>
      </c>
      <c r="R247" s="81"/>
      <c r="S247" s="81"/>
      <c r="T247" s="81"/>
      <c r="U247" s="81"/>
      <c r="V247" s="81"/>
      <c r="W247" s="81"/>
      <c r="X247" s="82" t="str">
        <f t="shared" si="3"/>
        <v/>
      </c>
      <c r="Y247" s="82" t="str">
        <f t="shared" si="4"/>
        <v/>
      </c>
      <c r="Z247" s="82" t="str">
        <f t="shared" si="5"/>
        <v/>
      </c>
      <c r="AA247" s="82" t="str">
        <f t="shared" si="6"/>
        <v/>
      </c>
      <c r="AB247" s="83">
        <f t="shared" si="7"/>
        <v>0</v>
      </c>
      <c r="AC247" s="83">
        <f t="shared" si="8"/>
        <v>0</v>
      </c>
      <c r="AD247" s="78"/>
      <c r="AE247" s="83">
        <f t="shared" si="9"/>
        <v>0</v>
      </c>
      <c r="AF247" s="78"/>
      <c r="AG247" s="78"/>
      <c r="AH247" s="78"/>
    </row>
    <row r="248" ht="15.75" customHeight="1">
      <c r="A248" s="78"/>
      <c r="B248" s="79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80" t="str">
        <f t="shared" si="1"/>
        <v/>
      </c>
      <c r="Q248" s="80" t="str">
        <f t="shared" si="2"/>
        <v/>
      </c>
      <c r="R248" s="81"/>
      <c r="S248" s="81"/>
      <c r="T248" s="81"/>
      <c r="U248" s="81"/>
      <c r="V248" s="81"/>
      <c r="W248" s="81"/>
      <c r="X248" s="82" t="str">
        <f t="shared" si="3"/>
        <v/>
      </c>
      <c r="Y248" s="82" t="str">
        <f t="shared" si="4"/>
        <v/>
      </c>
      <c r="Z248" s="82" t="str">
        <f t="shared" si="5"/>
        <v/>
      </c>
      <c r="AA248" s="82" t="str">
        <f t="shared" si="6"/>
        <v/>
      </c>
      <c r="AB248" s="83">
        <f t="shared" si="7"/>
        <v>0</v>
      </c>
      <c r="AC248" s="83">
        <f t="shared" si="8"/>
        <v>0</v>
      </c>
      <c r="AD248" s="78"/>
      <c r="AE248" s="83">
        <f t="shared" si="9"/>
        <v>0</v>
      </c>
      <c r="AF248" s="78"/>
      <c r="AG248" s="78"/>
      <c r="AH248" s="78"/>
    </row>
    <row r="249" ht="15.75" customHeight="1">
      <c r="A249" s="78"/>
      <c r="B249" s="79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80" t="str">
        <f t="shared" si="1"/>
        <v/>
      </c>
      <c r="Q249" s="80" t="str">
        <f t="shared" si="2"/>
        <v/>
      </c>
      <c r="R249" s="81"/>
      <c r="S249" s="81"/>
      <c r="T249" s="81"/>
      <c r="U249" s="81"/>
      <c r="V249" s="81"/>
      <c r="W249" s="81"/>
      <c r="X249" s="82" t="str">
        <f t="shared" si="3"/>
        <v/>
      </c>
      <c r="Y249" s="82" t="str">
        <f t="shared" si="4"/>
        <v/>
      </c>
      <c r="Z249" s="82" t="str">
        <f t="shared" si="5"/>
        <v/>
      </c>
      <c r="AA249" s="82" t="str">
        <f t="shared" si="6"/>
        <v/>
      </c>
      <c r="AB249" s="83">
        <f t="shared" si="7"/>
        <v>0</v>
      </c>
      <c r="AC249" s="83">
        <f t="shared" si="8"/>
        <v>0</v>
      </c>
      <c r="AD249" s="78"/>
      <c r="AE249" s="83">
        <f t="shared" si="9"/>
        <v>0</v>
      </c>
      <c r="AF249" s="78"/>
      <c r="AG249" s="78"/>
      <c r="AH249" s="78"/>
    </row>
    <row r="250" ht="15.75" customHeight="1">
      <c r="A250" s="78"/>
      <c r="B250" s="79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80" t="str">
        <f t="shared" si="1"/>
        <v/>
      </c>
      <c r="Q250" s="80" t="str">
        <f t="shared" si="2"/>
        <v/>
      </c>
      <c r="R250" s="81"/>
      <c r="S250" s="81"/>
      <c r="T250" s="81"/>
      <c r="U250" s="81"/>
      <c r="V250" s="81"/>
      <c r="W250" s="81"/>
      <c r="X250" s="82" t="str">
        <f t="shared" si="3"/>
        <v/>
      </c>
      <c r="Y250" s="82" t="str">
        <f t="shared" si="4"/>
        <v/>
      </c>
      <c r="Z250" s="82" t="str">
        <f t="shared" si="5"/>
        <v/>
      </c>
      <c r="AA250" s="82" t="str">
        <f t="shared" si="6"/>
        <v/>
      </c>
      <c r="AB250" s="83">
        <f t="shared" si="7"/>
        <v>0</v>
      </c>
      <c r="AC250" s="83">
        <f t="shared" si="8"/>
        <v>0</v>
      </c>
      <c r="AD250" s="78"/>
      <c r="AE250" s="83">
        <f t="shared" si="9"/>
        <v>0</v>
      </c>
      <c r="AF250" s="78"/>
      <c r="AG250" s="78"/>
      <c r="AH250" s="78"/>
    </row>
    <row r="251" ht="15.75" customHeight="1">
      <c r="A251" s="78"/>
      <c r="B251" s="79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80" t="str">
        <f t="shared" si="1"/>
        <v/>
      </c>
      <c r="Q251" s="80" t="str">
        <f t="shared" si="2"/>
        <v/>
      </c>
      <c r="R251" s="81"/>
      <c r="S251" s="81"/>
      <c r="T251" s="81"/>
      <c r="U251" s="81"/>
      <c r="V251" s="81"/>
      <c r="W251" s="81"/>
      <c r="X251" s="82" t="str">
        <f t="shared" si="3"/>
        <v/>
      </c>
      <c r="Y251" s="82" t="str">
        <f t="shared" si="4"/>
        <v/>
      </c>
      <c r="Z251" s="82" t="str">
        <f t="shared" si="5"/>
        <v/>
      </c>
      <c r="AA251" s="82" t="str">
        <f t="shared" si="6"/>
        <v/>
      </c>
      <c r="AB251" s="83">
        <f t="shared" si="7"/>
        <v>0</v>
      </c>
      <c r="AC251" s="83">
        <f t="shared" si="8"/>
        <v>0</v>
      </c>
      <c r="AD251" s="78"/>
      <c r="AE251" s="83">
        <f t="shared" si="9"/>
        <v>0</v>
      </c>
      <c r="AF251" s="78"/>
      <c r="AG251" s="78"/>
      <c r="AH251" s="78"/>
    </row>
    <row r="252" ht="15.75" customHeight="1">
      <c r="A252" s="78"/>
      <c r="B252" s="79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80" t="str">
        <f t="shared" si="1"/>
        <v/>
      </c>
      <c r="Q252" s="80" t="str">
        <f t="shared" si="2"/>
        <v/>
      </c>
      <c r="R252" s="81"/>
      <c r="S252" s="81"/>
      <c r="T252" s="81"/>
      <c r="U252" s="81"/>
      <c r="V252" s="81"/>
      <c r="W252" s="81"/>
      <c r="X252" s="82" t="str">
        <f t="shared" si="3"/>
        <v/>
      </c>
      <c r="Y252" s="82" t="str">
        <f t="shared" si="4"/>
        <v/>
      </c>
      <c r="Z252" s="82" t="str">
        <f t="shared" si="5"/>
        <v/>
      </c>
      <c r="AA252" s="82" t="str">
        <f t="shared" si="6"/>
        <v/>
      </c>
      <c r="AB252" s="83">
        <f t="shared" si="7"/>
        <v>0</v>
      </c>
      <c r="AC252" s="83">
        <f t="shared" si="8"/>
        <v>0</v>
      </c>
      <c r="AD252" s="78"/>
      <c r="AE252" s="83">
        <f t="shared" si="9"/>
        <v>0</v>
      </c>
      <c r="AF252" s="78"/>
      <c r="AG252" s="78"/>
      <c r="AH252" s="78"/>
    </row>
    <row r="253" ht="15.75" customHeight="1">
      <c r="A253" s="78"/>
      <c r="B253" s="79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80" t="str">
        <f t="shared" si="1"/>
        <v/>
      </c>
      <c r="Q253" s="80" t="str">
        <f t="shared" si="2"/>
        <v/>
      </c>
      <c r="R253" s="81"/>
      <c r="S253" s="81"/>
      <c r="T253" s="81"/>
      <c r="U253" s="81"/>
      <c r="V253" s="81"/>
      <c r="W253" s="81"/>
      <c r="X253" s="82" t="str">
        <f t="shared" si="3"/>
        <v/>
      </c>
      <c r="Y253" s="82" t="str">
        <f t="shared" si="4"/>
        <v/>
      </c>
      <c r="Z253" s="82" t="str">
        <f t="shared" si="5"/>
        <v/>
      </c>
      <c r="AA253" s="82" t="str">
        <f t="shared" si="6"/>
        <v/>
      </c>
      <c r="AB253" s="83">
        <f t="shared" si="7"/>
        <v>0</v>
      </c>
      <c r="AC253" s="83">
        <f t="shared" si="8"/>
        <v>0</v>
      </c>
      <c r="AD253" s="78"/>
      <c r="AE253" s="83">
        <f t="shared" si="9"/>
        <v>0</v>
      </c>
      <c r="AF253" s="78"/>
      <c r="AG253" s="78"/>
      <c r="AH253" s="78"/>
    </row>
    <row r="254" ht="15.75" customHeight="1">
      <c r="A254" s="78"/>
      <c r="B254" s="79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80" t="str">
        <f t="shared" si="1"/>
        <v/>
      </c>
      <c r="Q254" s="80" t="str">
        <f t="shared" si="2"/>
        <v/>
      </c>
      <c r="R254" s="81"/>
      <c r="S254" s="81"/>
      <c r="T254" s="81"/>
      <c r="U254" s="81"/>
      <c r="V254" s="81"/>
      <c r="W254" s="81"/>
      <c r="X254" s="82" t="str">
        <f t="shared" si="3"/>
        <v/>
      </c>
      <c r="Y254" s="82" t="str">
        <f t="shared" si="4"/>
        <v/>
      </c>
      <c r="Z254" s="82" t="str">
        <f t="shared" si="5"/>
        <v/>
      </c>
      <c r="AA254" s="82" t="str">
        <f t="shared" si="6"/>
        <v/>
      </c>
      <c r="AB254" s="83">
        <f t="shared" si="7"/>
        <v>0</v>
      </c>
      <c r="AC254" s="83">
        <f t="shared" si="8"/>
        <v>0</v>
      </c>
      <c r="AD254" s="78"/>
      <c r="AE254" s="83">
        <f t="shared" si="9"/>
        <v>0</v>
      </c>
      <c r="AF254" s="78"/>
      <c r="AG254" s="78"/>
      <c r="AH254" s="78"/>
    </row>
    <row r="255" ht="15.75" customHeight="1">
      <c r="A255" s="78"/>
      <c r="B255" s="79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80" t="str">
        <f t="shared" si="1"/>
        <v/>
      </c>
      <c r="Q255" s="80" t="str">
        <f t="shared" si="2"/>
        <v/>
      </c>
      <c r="R255" s="81"/>
      <c r="S255" s="81"/>
      <c r="T255" s="81"/>
      <c r="U255" s="81"/>
      <c r="V255" s="81"/>
      <c r="W255" s="81"/>
      <c r="X255" s="82" t="str">
        <f t="shared" si="3"/>
        <v/>
      </c>
      <c r="Y255" s="82" t="str">
        <f t="shared" si="4"/>
        <v/>
      </c>
      <c r="Z255" s="82" t="str">
        <f t="shared" si="5"/>
        <v/>
      </c>
      <c r="AA255" s="82" t="str">
        <f t="shared" si="6"/>
        <v/>
      </c>
      <c r="AB255" s="83">
        <f t="shared" si="7"/>
        <v>0</v>
      </c>
      <c r="AC255" s="83">
        <f t="shared" si="8"/>
        <v>0</v>
      </c>
      <c r="AD255" s="78"/>
      <c r="AE255" s="83">
        <f t="shared" si="9"/>
        <v>0</v>
      </c>
      <c r="AF255" s="78"/>
      <c r="AG255" s="78"/>
      <c r="AH255" s="78"/>
    </row>
    <row r="256" ht="15.75" customHeight="1">
      <c r="A256" s="78"/>
      <c r="B256" s="79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80" t="str">
        <f t="shared" si="1"/>
        <v/>
      </c>
      <c r="Q256" s="80" t="str">
        <f t="shared" si="2"/>
        <v/>
      </c>
      <c r="R256" s="81"/>
      <c r="S256" s="81"/>
      <c r="T256" s="81"/>
      <c r="U256" s="81"/>
      <c r="V256" s="81"/>
      <c r="W256" s="81"/>
      <c r="X256" s="82" t="str">
        <f t="shared" si="3"/>
        <v/>
      </c>
      <c r="Y256" s="82" t="str">
        <f t="shared" si="4"/>
        <v/>
      </c>
      <c r="Z256" s="82" t="str">
        <f t="shared" si="5"/>
        <v/>
      </c>
      <c r="AA256" s="82" t="str">
        <f t="shared" si="6"/>
        <v/>
      </c>
      <c r="AB256" s="83">
        <f t="shared" si="7"/>
        <v>0</v>
      </c>
      <c r="AC256" s="83">
        <f t="shared" si="8"/>
        <v>0</v>
      </c>
      <c r="AD256" s="78"/>
      <c r="AE256" s="83">
        <f t="shared" si="9"/>
        <v>0</v>
      </c>
      <c r="AF256" s="78"/>
      <c r="AG256" s="78"/>
      <c r="AH256" s="78"/>
    </row>
    <row r="257" ht="15.75" customHeight="1">
      <c r="A257" s="78"/>
      <c r="B257" s="79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80" t="str">
        <f t="shared" si="1"/>
        <v/>
      </c>
      <c r="Q257" s="80" t="str">
        <f t="shared" si="2"/>
        <v/>
      </c>
      <c r="R257" s="81"/>
      <c r="S257" s="81"/>
      <c r="T257" s="81"/>
      <c r="U257" s="81"/>
      <c r="V257" s="81"/>
      <c r="W257" s="81"/>
      <c r="X257" s="82" t="str">
        <f t="shared" si="3"/>
        <v/>
      </c>
      <c r="Y257" s="82" t="str">
        <f t="shared" si="4"/>
        <v/>
      </c>
      <c r="Z257" s="82" t="str">
        <f t="shared" si="5"/>
        <v/>
      </c>
      <c r="AA257" s="82" t="str">
        <f t="shared" si="6"/>
        <v/>
      </c>
      <c r="AB257" s="83">
        <f t="shared" si="7"/>
        <v>0</v>
      </c>
      <c r="AC257" s="83">
        <f t="shared" si="8"/>
        <v>0</v>
      </c>
      <c r="AD257" s="78"/>
      <c r="AE257" s="83">
        <f t="shared" si="9"/>
        <v>0</v>
      </c>
      <c r="AF257" s="78"/>
      <c r="AG257" s="78"/>
      <c r="AH257" s="78"/>
    </row>
    <row r="258" ht="15.75" customHeight="1">
      <c r="A258" s="78"/>
      <c r="B258" s="79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80" t="str">
        <f t="shared" si="1"/>
        <v/>
      </c>
      <c r="Q258" s="80" t="str">
        <f t="shared" si="2"/>
        <v/>
      </c>
      <c r="R258" s="81"/>
      <c r="S258" s="81"/>
      <c r="T258" s="81"/>
      <c r="U258" s="81"/>
      <c r="V258" s="81"/>
      <c r="W258" s="81"/>
      <c r="X258" s="82" t="str">
        <f t="shared" si="3"/>
        <v/>
      </c>
      <c r="Y258" s="82" t="str">
        <f t="shared" si="4"/>
        <v/>
      </c>
      <c r="Z258" s="82" t="str">
        <f t="shared" si="5"/>
        <v/>
      </c>
      <c r="AA258" s="82" t="str">
        <f t="shared" si="6"/>
        <v/>
      </c>
      <c r="AB258" s="83">
        <f t="shared" si="7"/>
        <v>0</v>
      </c>
      <c r="AC258" s="83">
        <f t="shared" si="8"/>
        <v>0</v>
      </c>
      <c r="AD258" s="78"/>
      <c r="AE258" s="83">
        <f t="shared" si="9"/>
        <v>0</v>
      </c>
      <c r="AF258" s="78"/>
      <c r="AG258" s="78"/>
      <c r="AH258" s="78"/>
    </row>
    <row r="259" ht="15.75" customHeight="1">
      <c r="A259" s="78"/>
      <c r="B259" s="79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80" t="str">
        <f t="shared" si="1"/>
        <v/>
      </c>
      <c r="Q259" s="80" t="str">
        <f t="shared" si="2"/>
        <v/>
      </c>
      <c r="R259" s="81"/>
      <c r="S259" s="81"/>
      <c r="T259" s="81"/>
      <c r="U259" s="81"/>
      <c r="V259" s="81"/>
      <c r="W259" s="81"/>
      <c r="X259" s="82" t="str">
        <f t="shared" si="3"/>
        <v/>
      </c>
      <c r="Y259" s="82" t="str">
        <f t="shared" si="4"/>
        <v/>
      </c>
      <c r="Z259" s="82" t="str">
        <f t="shared" si="5"/>
        <v/>
      </c>
      <c r="AA259" s="82" t="str">
        <f t="shared" si="6"/>
        <v/>
      </c>
      <c r="AB259" s="83">
        <f t="shared" si="7"/>
        <v>0</v>
      </c>
      <c r="AC259" s="83">
        <f t="shared" si="8"/>
        <v>0</v>
      </c>
      <c r="AD259" s="78"/>
      <c r="AE259" s="83">
        <f t="shared" si="9"/>
        <v>0</v>
      </c>
      <c r="AF259" s="78"/>
      <c r="AG259" s="78"/>
      <c r="AH259" s="78"/>
    </row>
    <row r="260" ht="15.75" customHeight="1">
      <c r="A260" s="78"/>
      <c r="B260" s="79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80" t="str">
        <f t="shared" si="1"/>
        <v/>
      </c>
      <c r="Q260" s="80" t="str">
        <f t="shared" si="2"/>
        <v/>
      </c>
      <c r="R260" s="81"/>
      <c r="S260" s="81"/>
      <c r="T260" s="81"/>
      <c r="U260" s="81"/>
      <c r="V260" s="81"/>
      <c r="W260" s="81"/>
      <c r="X260" s="82" t="str">
        <f t="shared" si="3"/>
        <v/>
      </c>
      <c r="Y260" s="82" t="str">
        <f t="shared" si="4"/>
        <v/>
      </c>
      <c r="Z260" s="82" t="str">
        <f t="shared" si="5"/>
        <v/>
      </c>
      <c r="AA260" s="82" t="str">
        <f t="shared" si="6"/>
        <v/>
      </c>
      <c r="AB260" s="83">
        <f t="shared" si="7"/>
        <v>0</v>
      </c>
      <c r="AC260" s="83">
        <f t="shared" si="8"/>
        <v>0</v>
      </c>
      <c r="AD260" s="78"/>
      <c r="AE260" s="83">
        <f t="shared" si="9"/>
        <v>0</v>
      </c>
      <c r="AF260" s="78"/>
      <c r="AG260" s="78"/>
      <c r="AH260" s="78"/>
    </row>
    <row r="261" ht="15.75" customHeight="1">
      <c r="A261" s="78"/>
      <c r="B261" s="79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80" t="str">
        <f t="shared" si="1"/>
        <v/>
      </c>
      <c r="Q261" s="80" t="str">
        <f t="shared" si="2"/>
        <v/>
      </c>
      <c r="R261" s="81"/>
      <c r="S261" s="81"/>
      <c r="T261" s="81"/>
      <c r="U261" s="81"/>
      <c r="V261" s="81"/>
      <c r="W261" s="81"/>
      <c r="X261" s="82" t="str">
        <f t="shared" si="3"/>
        <v/>
      </c>
      <c r="Y261" s="82" t="str">
        <f t="shared" si="4"/>
        <v/>
      </c>
      <c r="Z261" s="82" t="str">
        <f t="shared" si="5"/>
        <v/>
      </c>
      <c r="AA261" s="82" t="str">
        <f t="shared" si="6"/>
        <v/>
      </c>
      <c r="AB261" s="83">
        <f t="shared" si="7"/>
        <v>0</v>
      </c>
      <c r="AC261" s="83">
        <f t="shared" si="8"/>
        <v>0</v>
      </c>
      <c r="AD261" s="78"/>
      <c r="AE261" s="83">
        <f t="shared" si="9"/>
        <v>0</v>
      </c>
      <c r="AF261" s="78"/>
      <c r="AG261" s="78"/>
      <c r="AH261" s="78"/>
    </row>
    <row r="262" ht="15.75" customHeight="1">
      <c r="A262" s="78"/>
      <c r="B262" s="79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80" t="str">
        <f t="shared" si="1"/>
        <v/>
      </c>
      <c r="Q262" s="80" t="str">
        <f t="shared" si="2"/>
        <v/>
      </c>
      <c r="R262" s="81"/>
      <c r="S262" s="81"/>
      <c r="T262" s="81"/>
      <c r="U262" s="81"/>
      <c r="V262" s="81"/>
      <c r="W262" s="81"/>
      <c r="X262" s="82" t="str">
        <f t="shared" si="3"/>
        <v/>
      </c>
      <c r="Y262" s="82" t="str">
        <f t="shared" si="4"/>
        <v/>
      </c>
      <c r="Z262" s="82" t="str">
        <f t="shared" si="5"/>
        <v/>
      </c>
      <c r="AA262" s="82" t="str">
        <f t="shared" si="6"/>
        <v/>
      </c>
      <c r="AB262" s="83">
        <f t="shared" si="7"/>
        <v>0</v>
      </c>
      <c r="AC262" s="83">
        <f t="shared" si="8"/>
        <v>0</v>
      </c>
      <c r="AD262" s="78"/>
      <c r="AE262" s="83">
        <f t="shared" si="9"/>
        <v>0</v>
      </c>
      <c r="AF262" s="78"/>
      <c r="AG262" s="78"/>
      <c r="AH262" s="78"/>
    </row>
    <row r="263" ht="15.75" customHeight="1">
      <c r="A263" s="78"/>
      <c r="B263" s="79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80" t="str">
        <f t="shared" si="1"/>
        <v/>
      </c>
      <c r="Q263" s="80" t="str">
        <f t="shared" si="2"/>
        <v/>
      </c>
      <c r="R263" s="81"/>
      <c r="S263" s="81"/>
      <c r="T263" s="81"/>
      <c r="U263" s="81"/>
      <c r="V263" s="81"/>
      <c r="W263" s="81"/>
      <c r="X263" s="82" t="str">
        <f t="shared" si="3"/>
        <v/>
      </c>
      <c r="Y263" s="82" t="str">
        <f t="shared" si="4"/>
        <v/>
      </c>
      <c r="Z263" s="82" t="str">
        <f t="shared" si="5"/>
        <v/>
      </c>
      <c r="AA263" s="82" t="str">
        <f t="shared" si="6"/>
        <v/>
      </c>
      <c r="AB263" s="83">
        <f t="shared" si="7"/>
        <v>0</v>
      </c>
      <c r="AC263" s="83">
        <f t="shared" si="8"/>
        <v>0</v>
      </c>
      <c r="AD263" s="78"/>
      <c r="AE263" s="83">
        <f t="shared" si="9"/>
        <v>0</v>
      </c>
      <c r="AF263" s="78"/>
      <c r="AG263" s="78"/>
      <c r="AH263" s="78"/>
    </row>
    <row r="264" ht="15.75" customHeight="1">
      <c r="A264" s="78"/>
      <c r="B264" s="79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80" t="str">
        <f t="shared" si="1"/>
        <v/>
      </c>
      <c r="Q264" s="80" t="str">
        <f t="shared" si="2"/>
        <v/>
      </c>
      <c r="R264" s="81"/>
      <c r="S264" s="81"/>
      <c r="T264" s="81"/>
      <c r="U264" s="81"/>
      <c r="V264" s="81"/>
      <c r="W264" s="81"/>
      <c r="X264" s="82" t="str">
        <f t="shared" si="3"/>
        <v/>
      </c>
      <c r="Y264" s="82" t="str">
        <f t="shared" si="4"/>
        <v/>
      </c>
      <c r="Z264" s="82" t="str">
        <f t="shared" si="5"/>
        <v/>
      </c>
      <c r="AA264" s="82" t="str">
        <f t="shared" si="6"/>
        <v/>
      </c>
      <c r="AB264" s="83">
        <f t="shared" si="7"/>
        <v>0</v>
      </c>
      <c r="AC264" s="83">
        <f t="shared" si="8"/>
        <v>0</v>
      </c>
      <c r="AD264" s="78"/>
      <c r="AE264" s="83">
        <f t="shared" si="9"/>
        <v>0</v>
      </c>
      <c r="AF264" s="78"/>
      <c r="AG264" s="78"/>
      <c r="AH264" s="78"/>
    </row>
    <row r="265" ht="15.75" customHeight="1">
      <c r="A265" s="78"/>
      <c r="B265" s="79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80" t="str">
        <f t="shared" si="1"/>
        <v/>
      </c>
      <c r="Q265" s="80" t="str">
        <f t="shared" si="2"/>
        <v/>
      </c>
      <c r="R265" s="81"/>
      <c r="S265" s="81"/>
      <c r="T265" s="81"/>
      <c r="U265" s="81"/>
      <c r="V265" s="81"/>
      <c r="W265" s="81"/>
      <c r="X265" s="82" t="str">
        <f t="shared" si="3"/>
        <v/>
      </c>
      <c r="Y265" s="82" t="str">
        <f t="shared" si="4"/>
        <v/>
      </c>
      <c r="Z265" s="82" t="str">
        <f t="shared" si="5"/>
        <v/>
      </c>
      <c r="AA265" s="82" t="str">
        <f t="shared" si="6"/>
        <v/>
      </c>
      <c r="AB265" s="83">
        <f t="shared" si="7"/>
        <v>0</v>
      </c>
      <c r="AC265" s="83">
        <f t="shared" si="8"/>
        <v>0</v>
      </c>
      <c r="AD265" s="78"/>
      <c r="AE265" s="83">
        <f t="shared" si="9"/>
        <v>0</v>
      </c>
      <c r="AF265" s="78"/>
      <c r="AG265" s="78"/>
      <c r="AH265" s="78"/>
    </row>
    <row r="266" ht="15.75" customHeight="1">
      <c r="A266" s="78"/>
      <c r="B266" s="79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80" t="str">
        <f t="shared" si="1"/>
        <v/>
      </c>
      <c r="Q266" s="80" t="str">
        <f t="shared" si="2"/>
        <v/>
      </c>
      <c r="R266" s="81"/>
      <c r="S266" s="81"/>
      <c r="T266" s="81"/>
      <c r="U266" s="81"/>
      <c r="V266" s="81"/>
      <c r="W266" s="81"/>
      <c r="X266" s="82" t="str">
        <f t="shared" si="3"/>
        <v/>
      </c>
      <c r="Y266" s="82" t="str">
        <f t="shared" si="4"/>
        <v/>
      </c>
      <c r="Z266" s="82" t="str">
        <f t="shared" si="5"/>
        <v/>
      </c>
      <c r="AA266" s="82" t="str">
        <f t="shared" si="6"/>
        <v/>
      </c>
      <c r="AB266" s="83">
        <f t="shared" si="7"/>
        <v>0</v>
      </c>
      <c r="AC266" s="83">
        <f t="shared" si="8"/>
        <v>0</v>
      </c>
      <c r="AD266" s="78"/>
      <c r="AE266" s="83">
        <f t="shared" si="9"/>
        <v>0</v>
      </c>
      <c r="AF266" s="78"/>
      <c r="AG266" s="78"/>
      <c r="AH266" s="78"/>
    </row>
    <row r="267" ht="15.75" customHeight="1">
      <c r="A267" s="78"/>
      <c r="B267" s="79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80" t="str">
        <f t="shared" si="1"/>
        <v/>
      </c>
      <c r="Q267" s="80" t="str">
        <f t="shared" si="2"/>
        <v/>
      </c>
      <c r="R267" s="81"/>
      <c r="S267" s="81"/>
      <c r="T267" s="81"/>
      <c r="U267" s="81"/>
      <c r="V267" s="81"/>
      <c r="W267" s="81"/>
      <c r="X267" s="82" t="str">
        <f t="shared" si="3"/>
        <v/>
      </c>
      <c r="Y267" s="82" t="str">
        <f t="shared" si="4"/>
        <v/>
      </c>
      <c r="Z267" s="82" t="str">
        <f t="shared" si="5"/>
        <v/>
      </c>
      <c r="AA267" s="82" t="str">
        <f t="shared" si="6"/>
        <v/>
      </c>
      <c r="AB267" s="83">
        <f t="shared" si="7"/>
        <v>0</v>
      </c>
      <c r="AC267" s="83">
        <f t="shared" si="8"/>
        <v>0</v>
      </c>
      <c r="AD267" s="78"/>
      <c r="AE267" s="83">
        <f t="shared" si="9"/>
        <v>0</v>
      </c>
      <c r="AF267" s="78"/>
      <c r="AG267" s="78"/>
      <c r="AH267" s="78"/>
    </row>
    <row r="268" ht="15.75" customHeight="1">
      <c r="A268" s="78"/>
      <c r="B268" s="79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80" t="str">
        <f t="shared" si="1"/>
        <v/>
      </c>
      <c r="Q268" s="80" t="str">
        <f t="shared" si="2"/>
        <v/>
      </c>
      <c r="R268" s="81"/>
      <c r="S268" s="81"/>
      <c r="T268" s="81"/>
      <c r="U268" s="81"/>
      <c r="V268" s="81"/>
      <c r="W268" s="81"/>
      <c r="X268" s="82" t="str">
        <f t="shared" si="3"/>
        <v/>
      </c>
      <c r="Y268" s="82" t="str">
        <f t="shared" si="4"/>
        <v/>
      </c>
      <c r="Z268" s="82" t="str">
        <f t="shared" si="5"/>
        <v/>
      </c>
      <c r="AA268" s="82" t="str">
        <f t="shared" si="6"/>
        <v/>
      </c>
      <c r="AB268" s="83">
        <f t="shared" si="7"/>
        <v>0</v>
      </c>
      <c r="AC268" s="83">
        <f t="shared" si="8"/>
        <v>0</v>
      </c>
      <c r="AD268" s="78"/>
      <c r="AE268" s="83">
        <f t="shared" si="9"/>
        <v>0</v>
      </c>
      <c r="AF268" s="78"/>
      <c r="AG268" s="78"/>
      <c r="AH268" s="78"/>
    </row>
    <row r="269" ht="15.75" customHeight="1">
      <c r="A269" s="78"/>
      <c r="B269" s="79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80" t="str">
        <f t="shared" si="1"/>
        <v/>
      </c>
      <c r="Q269" s="80" t="str">
        <f t="shared" si="2"/>
        <v/>
      </c>
      <c r="R269" s="81"/>
      <c r="S269" s="81"/>
      <c r="T269" s="81"/>
      <c r="U269" s="81"/>
      <c r="V269" s="81"/>
      <c r="W269" s="81"/>
      <c r="X269" s="82" t="str">
        <f t="shared" si="3"/>
        <v/>
      </c>
      <c r="Y269" s="82" t="str">
        <f t="shared" si="4"/>
        <v/>
      </c>
      <c r="Z269" s="82" t="str">
        <f t="shared" si="5"/>
        <v/>
      </c>
      <c r="AA269" s="82" t="str">
        <f t="shared" si="6"/>
        <v/>
      </c>
      <c r="AB269" s="83">
        <f t="shared" si="7"/>
        <v>0</v>
      </c>
      <c r="AC269" s="83">
        <f t="shared" si="8"/>
        <v>0</v>
      </c>
      <c r="AD269" s="78"/>
      <c r="AE269" s="83">
        <f t="shared" si="9"/>
        <v>0</v>
      </c>
      <c r="AF269" s="78"/>
      <c r="AG269" s="78"/>
      <c r="AH269" s="78"/>
    </row>
    <row r="270" ht="15.75" customHeight="1">
      <c r="A270" s="78"/>
      <c r="B270" s="79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80" t="str">
        <f t="shared" si="1"/>
        <v/>
      </c>
      <c r="Q270" s="80" t="str">
        <f t="shared" si="2"/>
        <v/>
      </c>
      <c r="R270" s="81"/>
      <c r="S270" s="81"/>
      <c r="T270" s="81"/>
      <c r="U270" s="81"/>
      <c r="V270" s="81"/>
      <c r="W270" s="81"/>
      <c r="X270" s="82" t="str">
        <f t="shared" si="3"/>
        <v/>
      </c>
      <c r="Y270" s="82" t="str">
        <f t="shared" si="4"/>
        <v/>
      </c>
      <c r="Z270" s="82" t="str">
        <f t="shared" si="5"/>
        <v/>
      </c>
      <c r="AA270" s="82" t="str">
        <f t="shared" si="6"/>
        <v/>
      </c>
      <c r="AB270" s="83">
        <f t="shared" si="7"/>
        <v>0</v>
      </c>
      <c r="AC270" s="83">
        <f t="shared" si="8"/>
        <v>0</v>
      </c>
      <c r="AD270" s="78"/>
      <c r="AE270" s="83">
        <f t="shared" si="9"/>
        <v>0</v>
      </c>
      <c r="AF270" s="78"/>
      <c r="AG270" s="78"/>
      <c r="AH270" s="78"/>
    </row>
    <row r="271" ht="15.75" customHeight="1">
      <c r="A271" s="78"/>
      <c r="B271" s="79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80" t="str">
        <f t="shared" si="1"/>
        <v/>
      </c>
      <c r="Q271" s="80" t="str">
        <f t="shared" si="2"/>
        <v/>
      </c>
      <c r="R271" s="81"/>
      <c r="S271" s="81"/>
      <c r="T271" s="81"/>
      <c r="U271" s="81"/>
      <c r="V271" s="81"/>
      <c r="W271" s="81"/>
      <c r="X271" s="82" t="str">
        <f t="shared" si="3"/>
        <v/>
      </c>
      <c r="Y271" s="82" t="str">
        <f t="shared" si="4"/>
        <v/>
      </c>
      <c r="Z271" s="82" t="str">
        <f t="shared" si="5"/>
        <v/>
      </c>
      <c r="AA271" s="82" t="str">
        <f t="shared" si="6"/>
        <v/>
      </c>
      <c r="AB271" s="83">
        <f t="shared" si="7"/>
        <v>0</v>
      </c>
      <c r="AC271" s="83">
        <f t="shared" si="8"/>
        <v>0</v>
      </c>
      <c r="AD271" s="78"/>
      <c r="AE271" s="83">
        <f t="shared" si="9"/>
        <v>0</v>
      </c>
      <c r="AF271" s="78"/>
      <c r="AG271" s="78"/>
      <c r="AH271" s="78"/>
    </row>
    <row r="272" ht="15.75" customHeight="1">
      <c r="A272" s="78"/>
      <c r="B272" s="79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80" t="str">
        <f t="shared" si="1"/>
        <v/>
      </c>
      <c r="Q272" s="80" t="str">
        <f t="shared" si="2"/>
        <v/>
      </c>
      <c r="R272" s="81"/>
      <c r="S272" s="81"/>
      <c r="T272" s="81"/>
      <c r="U272" s="81"/>
      <c r="V272" s="81"/>
      <c r="W272" s="81"/>
      <c r="X272" s="82" t="str">
        <f t="shared" si="3"/>
        <v/>
      </c>
      <c r="Y272" s="82" t="str">
        <f t="shared" si="4"/>
        <v/>
      </c>
      <c r="Z272" s="82" t="str">
        <f t="shared" si="5"/>
        <v/>
      </c>
      <c r="AA272" s="82" t="str">
        <f t="shared" si="6"/>
        <v/>
      </c>
      <c r="AB272" s="83">
        <f t="shared" si="7"/>
        <v>0</v>
      </c>
      <c r="AC272" s="83">
        <f t="shared" si="8"/>
        <v>0</v>
      </c>
      <c r="AD272" s="78"/>
      <c r="AE272" s="83">
        <f t="shared" si="9"/>
        <v>0</v>
      </c>
      <c r="AF272" s="78"/>
      <c r="AG272" s="78"/>
      <c r="AH272" s="78"/>
    </row>
    <row r="273" ht="15.75" customHeight="1">
      <c r="A273" s="78"/>
      <c r="B273" s="79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80" t="str">
        <f t="shared" si="1"/>
        <v/>
      </c>
      <c r="Q273" s="80" t="str">
        <f t="shared" si="2"/>
        <v/>
      </c>
      <c r="R273" s="81"/>
      <c r="S273" s="81"/>
      <c r="T273" s="81"/>
      <c r="U273" s="81"/>
      <c r="V273" s="81"/>
      <c r="W273" s="81"/>
      <c r="X273" s="82" t="str">
        <f t="shared" si="3"/>
        <v/>
      </c>
      <c r="Y273" s="82" t="str">
        <f t="shared" si="4"/>
        <v/>
      </c>
      <c r="Z273" s="82" t="str">
        <f t="shared" si="5"/>
        <v/>
      </c>
      <c r="AA273" s="82" t="str">
        <f t="shared" si="6"/>
        <v/>
      </c>
      <c r="AB273" s="83">
        <f t="shared" si="7"/>
        <v>0</v>
      </c>
      <c r="AC273" s="83">
        <f t="shared" si="8"/>
        <v>0</v>
      </c>
      <c r="AD273" s="78"/>
      <c r="AE273" s="83">
        <f t="shared" si="9"/>
        <v>0</v>
      </c>
      <c r="AF273" s="78"/>
      <c r="AG273" s="78"/>
      <c r="AH273" s="78"/>
    </row>
    <row r="274" ht="15.75" customHeight="1">
      <c r="A274" s="78"/>
      <c r="B274" s="79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80" t="str">
        <f t="shared" si="1"/>
        <v/>
      </c>
      <c r="Q274" s="80" t="str">
        <f t="shared" si="2"/>
        <v/>
      </c>
      <c r="R274" s="81"/>
      <c r="S274" s="81"/>
      <c r="T274" s="81"/>
      <c r="U274" s="81"/>
      <c r="V274" s="81"/>
      <c r="W274" s="81"/>
      <c r="X274" s="82" t="str">
        <f t="shared" si="3"/>
        <v/>
      </c>
      <c r="Y274" s="82" t="str">
        <f t="shared" si="4"/>
        <v/>
      </c>
      <c r="Z274" s="82" t="str">
        <f t="shared" si="5"/>
        <v/>
      </c>
      <c r="AA274" s="82" t="str">
        <f t="shared" si="6"/>
        <v/>
      </c>
      <c r="AB274" s="83">
        <f t="shared" si="7"/>
        <v>0</v>
      </c>
      <c r="AC274" s="83">
        <f t="shared" si="8"/>
        <v>0</v>
      </c>
      <c r="AD274" s="78"/>
      <c r="AE274" s="83">
        <f t="shared" si="9"/>
        <v>0</v>
      </c>
      <c r="AF274" s="78"/>
      <c r="AG274" s="78"/>
      <c r="AH274" s="78"/>
    </row>
    <row r="275" ht="15.75" customHeight="1">
      <c r="A275" s="78"/>
      <c r="B275" s="79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80" t="str">
        <f t="shared" si="1"/>
        <v/>
      </c>
      <c r="Q275" s="80" t="str">
        <f t="shared" si="2"/>
        <v/>
      </c>
      <c r="R275" s="81"/>
      <c r="S275" s="81"/>
      <c r="T275" s="81"/>
      <c r="U275" s="81"/>
      <c r="V275" s="81"/>
      <c r="W275" s="81"/>
      <c r="X275" s="82" t="str">
        <f t="shared" si="3"/>
        <v/>
      </c>
      <c r="Y275" s="82" t="str">
        <f t="shared" si="4"/>
        <v/>
      </c>
      <c r="Z275" s="82" t="str">
        <f t="shared" si="5"/>
        <v/>
      </c>
      <c r="AA275" s="82" t="str">
        <f t="shared" si="6"/>
        <v/>
      </c>
      <c r="AB275" s="83">
        <f t="shared" si="7"/>
        <v>0</v>
      </c>
      <c r="AC275" s="83">
        <f t="shared" si="8"/>
        <v>0</v>
      </c>
      <c r="AD275" s="78"/>
      <c r="AE275" s="83">
        <f t="shared" si="9"/>
        <v>0</v>
      </c>
      <c r="AF275" s="78"/>
      <c r="AG275" s="78"/>
      <c r="AH275" s="78"/>
    </row>
    <row r="276" ht="15.75" customHeight="1">
      <c r="A276" s="78"/>
      <c r="B276" s="79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80" t="str">
        <f t="shared" si="1"/>
        <v/>
      </c>
      <c r="Q276" s="80" t="str">
        <f t="shared" si="2"/>
        <v/>
      </c>
      <c r="R276" s="81"/>
      <c r="S276" s="81"/>
      <c r="T276" s="81"/>
      <c r="U276" s="81"/>
      <c r="V276" s="81"/>
      <c r="W276" s="81"/>
      <c r="X276" s="82" t="str">
        <f t="shared" si="3"/>
        <v/>
      </c>
      <c r="Y276" s="82" t="str">
        <f t="shared" si="4"/>
        <v/>
      </c>
      <c r="Z276" s="82" t="str">
        <f t="shared" si="5"/>
        <v/>
      </c>
      <c r="AA276" s="82" t="str">
        <f t="shared" si="6"/>
        <v/>
      </c>
      <c r="AB276" s="83">
        <f t="shared" si="7"/>
        <v>0</v>
      </c>
      <c r="AC276" s="83">
        <f t="shared" si="8"/>
        <v>0</v>
      </c>
      <c r="AD276" s="78"/>
      <c r="AE276" s="83">
        <f t="shared" si="9"/>
        <v>0</v>
      </c>
      <c r="AF276" s="78"/>
      <c r="AG276" s="78"/>
      <c r="AH276" s="78"/>
    </row>
    <row r="277" ht="15.75" customHeight="1">
      <c r="A277" s="78"/>
      <c r="B277" s="79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80" t="str">
        <f t="shared" si="1"/>
        <v/>
      </c>
      <c r="Q277" s="80" t="str">
        <f t="shared" si="2"/>
        <v/>
      </c>
      <c r="R277" s="81"/>
      <c r="S277" s="81"/>
      <c r="T277" s="81"/>
      <c r="U277" s="81"/>
      <c r="V277" s="81"/>
      <c r="W277" s="81"/>
      <c r="X277" s="82" t="str">
        <f t="shared" si="3"/>
        <v/>
      </c>
      <c r="Y277" s="82" t="str">
        <f t="shared" si="4"/>
        <v/>
      </c>
      <c r="Z277" s="82" t="str">
        <f t="shared" si="5"/>
        <v/>
      </c>
      <c r="AA277" s="82" t="str">
        <f t="shared" si="6"/>
        <v/>
      </c>
      <c r="AB277" s="83">
        <f t="shared" si="7"/>
        <v>0</v>
      </c>
      <c r="AC277" s="83">
        <f t="shared" si="8"/>
        <v>0</v>
      </c>
      <c r="AD277" s="78"/>
      <c r="AE277" s="83">
        <f t="shared" si="9"/>
        <v>0</v>
      </c>
      <c r="AF277" s="78"/>
      <c r="AG277" s="78"/>
      <c r="AH277" s="78"/>
    </row>
    <row r="278" ht="15.75" customHeight="1">
      <c r="A278" s="78"/>
      <c r="B278" s="79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80" t="str">
        <f t="shared" si="1"/>
        <v/>
      </c>
      <c r="Q278" s="80" t="str">
        <f t="shared" si="2"/>
        <v/>
      </c>
      <c r="R278" s="81"/>
      <c r="S278" s="81"/>
      <c r="T278" s="81"/>
      <c r="U278" s="81"/>
      <c r="V278" s="81"/>
      <c r="W278" s="81"/>
      <c r="X278" s="82" t="str">
        <f t="shared" si="3"/>
        <v/>
      </c>
      <c r="Y278" s="82" t="str">
        <f t="shared" si="4"/>
        <v/>
      </c>
      <c r="Z278" s="82" t="str">
        <f t="shared" si="5"/>
        <v/>
      </c>
      <c r="AA278" s="82" t="str">
        <f t="shared" si="6"/>
        <v/>
      </c>
      <c r="AB278" s="83">
        <f t="shared" si="7"/>
        <v>0</v>
      </c>
      <c r="AC278" s="83">
        <f t="shared" si="8"/>
        <v>0</v>
      </c>
      <c r="AD278" s="78"/>
      <c r="AE278" s="83">
        <f t="shared" si="9"/>
        <v>0</v>
      </c>
      <c r="AF278" s="78"/>
      <c r="AG278" s="78"/>
      <c r="AH278" s="78"/>
    </row>
    <row r="279" ht="15.75" customHeight="1">
      <c r="A279" s="78"/>
      <c r="B279" s="79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80" t="str">
        <f t="shared" si="1"/>
        <v/>
      </c>
      <c r="Q279" s="80" t="str">
        <f t="shared" si="2"/>
        <v/>
      </c>
      <c r="R279" s="81"/>
      <c r="S279" s="81"/>
      <c r="T279" s="81"/>
      <c r="U279" s="81"/>
      <c r="V279" s="81"/>
      <c r="W279" s="81"/>
      <c r="X279" s="82" t="str">
        <f t="shared" si="3"/>
        <v/>
      </c>
      <c r="Y279" s="82" t="str">
        <f t="shared" si="4"/>
        <v/>
      </c>
      <c r="Z279" s="82" t="str">
        <f t="shared" si="5"/>
        <v/>
      </c>
      <c r="AA279" s="82" t="str">
        <f t="shared" si="6"/>
        <v/>
      </c>
      <c r="AB279" s="83">
        <f t="shared" si="7"/>
        <v>0</v>
      </c>
      <c r="AC279" s="83">
        <f t="shared" si="8"/>
        <v>0</v>
      </c>
      <c r="AD279" s="78"/>
      <c r="AE279" s="83">
        <f t="shared" si="9"/>
        <v>0</v>
      </c>
      <c r="AF279" s="78"/>
      <c r="AG279" s="78"/>
      <c r="AH279" s="78"/>
    </row>
    <row r="280" ht="15.75" customHeight="1">
      <c r="A280" s="78"/>
      <c r="B280" s="79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80" t="str">
        <f t="shared" si="1"/>
        <v/>
      </c>
      <c r="Q280" s="80" t="str">
        <f t="shared" si="2"/>
        <v/>
      </c>
      <c r="R280" s="81"/>
      <c r="S280" s="81"/>
      <c r="T280" s="81"/>
      <c r="U280" s="81"/>
      <c r="V280" s="81"/>
      <c r="W280" s="81"/>
      <c r="X280" s="82" t="str">
        <f t="shared" si="3"/>
        <v/>
      </c>
      <c r="Y280" s="82" t="str">
        <f t="shared" si="4"/>
        <v/>
      </c>
      <c r="Z280" s="82" t="str">
        <f t="shared" si="5"/>
        <v/>
      </c>
      <c r="AA280" s="82" t="str">
        <f t="shared" si="6"/>
        <v/>
      </c>
      <c r="AB280" s="83">
        <f t="shared" si="7"/>
        <v>0</v>
      </c>
      <c r="AC280" s="83">
        <f t="shared" si="8"/>
        <v>0</v>
      </c>
      <c r="AD280" s="78"/>
      <c r="AE280" s="83">
        <f t="shared" si="9"/>
        <v>0</v>
      </c>
      <c r="AF280" s="78"/>
      <c r="AG280" s="78"/>
      <c r="AH280" s="78"/>
    </row>
    <row r="281" ht="15.75" customHeight="1">
      <c r="A281" s="78"/>
      <c r="B281" s="79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80" t="str">
        <f t="shared" si="1"/>
        <v/>
      </c>
      <c r="Q281" s="80" t="str">
        <f t="shared" si="2"/>
        <v/>
      </c>
      <c r="R281" s="81"/>
      <c r="S281" s="81"/>
      <c r="T281" s="81"/>
      <c r="U281" s="81"/>
      <c r="V281" s="81"/>
      <c r="W281" s="81"/>
      <c r="X281" s="82" t="str">
        <f t="shared" si="3"/>
        <v/>
      </c>
      <c r="Y281" s="82" t="str">
        <f t="shared" si="4"/>
        <v/>
      </c>
      <c r="Z281" s="82" t="str">
        <f t="shared" si="5"/>
        <v/>
      </c>
      <c r="AA281" s="82" t="str">
        <f t="shared" si="6"/>
        <v/>
      </c>
      <c r="AB281" s="83">
        <f t="shared" si="7"/>
        <v>0</v>
      </c>
      <c r="AC281" s="83">
        <f t="shared" si="8"/>
        <v>0</v>
      </c>
      <c r="AD281" s="78"/>
      <c r="AE281" s="83">
        <f t="shared" si="9"/>
        <v>0</v>
      </c>
      <c r="AF281" s="78"/>
      <c r="AG281" s="78"/>
      <c r="AH281" s="78"/>
    </row>
    <row r="282" ht="15.75" customHeight="1">
      <c r="A282" s="78"/>
      <c r="B282" s="79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80" t="str">
        <f t="shared" si="1"/>
        <v/>
      </c>
      <c r="Q282" s="80" t="str">
        <f t="shared" si="2"/>
        <v/>
      </c>
      <c r="R282" s="81"/>
      <c r="S282" s="81"/>
      <c r="T282" s="81"/>
      <c r="U282" s="81"/>
      <c r="V282" s="81"/>
      <c r="W282" s="81"/>
      <c r="X282" s="82" t="str">
        <f t="shared" si="3"/>
        <v/>
      </c>
      <c r="Y282" s="82" t="str">
        <f t="shared" si="4"/>
        <v/>
      </c>
      <c r="Z282" s="82" t="str">
        <f t="shared" si="5"/>
        <v/>
      </c>
      <c r="AA282" s="82" t="str">
        <f t="shared" si="6"/>
        <v/>
      </c>
      <c r="AB282" s="83">
        <f t="shared" si="7"/>
        <v>0</v>
      </c>
      <c r="AC282" s="83">
        <f t="shared" si="8"/>
        <v>0</v>
      </c>
      <c r="AD282" s="78"/>
      <c r="AE282" s="83">
        <f t="shared" si="9"/>
        <v>0</v>
      </c>
      <c r="AF282" s="78"/>
      <c r="AG282" s="78"/>
      <c r="AH282" s="78"/>
    </row>
    <row r="283" ht="15.75" customHeight="1">
      <c r="A283" s="78"/>
      <c r="B283" s="79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80" t="str">
        <f t="shared" si="1"/>
        <v/>
      </c>
      <c r="Q283" s="80" t="str">
        <f t="shared" si="2"/>
        <v/>
      </c>
      <c r="R283" s="81"/>
      <c r="S283" s="81"/>
      <c r="T283" s="81"/>
      <c r="U283" s="81"/>
      <c r="V283" s="81"/>
      <c r="W283" s="81"/>
      <c r="X283" s="82" t="str">
        <f t="shared" si="3"/>
        <v/>
      </c>
      <c r="Y283" s="82" t="str">
        <f t="shared" si="4"/>
        <v/>
      </c>
      <c r="Z283" s="82" t="str">
        <f t="shared" si="5"/>
        <v/>
      </c>
      <c r="AA283" s="82" t="str">
        <f t="shared" si="6"/>
        <v/>
      </c>
      <c r="AB283" s="83">
        <f t="shared" si="7"/>
        <v>0</v>
      </c>
      <c r="AC283" s="83">
        <f t="shared" si="8"/>
        <v>0</v>
      </c>
      <c r="AD283" s="78"/>
      <c r="AE283" s="83">
        <f t="shared" si="9"/>
        <v>0</v>
      </c>
      <c r="AF283" s="78"/>
      <c r="AG283" s="78"/>
      <c r="AH283" s="78"/>
    </row>
    <row r="284" ht="15.75" customHeight="1">
      <c r="A284" s="78"/>
      <c r="B284" s="79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80" t="str">
        <f t="shared" si="1"/>
        <v/>
      </c>
      <c r="Q284" s="80" t="str">
        <f t="shared" si="2"/>
        <v/>
      </c>
      <c r="R284" s="81"/>
      <c r="S284" s="81"/>
      <c r="T284" s="81"/>
      <c r="U284" s="81"/>
      <c r="V284" s="81"/>
      <c r="W284" s="81"/>
      <c r="X284" s="82" t="str">
        <f t="shared" si="3"/>
        <v/>
      </c>
      <c r="Y284" s="82" t="str">
        <f t="shared" si="4"/>
        <v/>
      </c>
      <c r="Z284" s="82" t="str">
        <f t="shared" si="5"/>
        <v/>
      </c>
      <c r="AA284" s="82" t="str">
        <f t="shared" si="6"/>
        <v/>
      </c>
      <c r="AB284" s="83">
        <f t="shared" si="7"/>
        <v>0</v>
      </c>
      <c r="AC284" s="83">
        <f t="shared" si="8"/>
        <v>0</v>
      </c>
      <c r="AD284" s="78"/>
      <c r="AE284" s="83">
        <f t="shared" si="9"/>
        <v>0</v>
      </c>
      <c r="AF284" s="78"/>
      <c r="AG284" s="78"/>
      <c r="AH284" s="78"/>
    </row>
    <row r="285" ht="15.75" customHeight="1">
      <c r="A285" s="78"/>
      <c r="B285" s="79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80" t="str">
        <f t="shared" si="1"/>
        <v/>
      </c>
      <c r="Q285" s="80" t="str">
        <f t="shared" si="2"/>
        <v/>
      </c>
      <c r="R285" s="81"/>
      <c r="S285" s="81"/>
      <c r="T285" s="81"/>
      <c r="U285" s="81"/>
      <c r="V285" s="81"/>
      <c r="W285" s="81"/>
      <c r="X285" s="82" t="str">
        <f t="shared" si="3"/>
        <v/>
      </c>
      <c r="Y285" s="82" t="str">
        <f t="shared" si="4"/>
        <v/>
      </c>
      <c r="Z285" s="82" t="str">
        <f t="shared" si="5"/>
        <v/>
      </c>
      <c r="AA285" s="82" t="str">
        <f t="shared" si="6"/>
        <v/>
      </c>
      <c r="AB285" s="83">
        <f t="shared" si="7"/>
        <v>0</v>
      </c>
      <c r="AC285" s="83">
        <f t="shared" si="8"/>
        <v>0</v>
      </c>
      <c r="AD285" s="78"/>
      <c r="AE285" s="83">
        <f t="shared" si="9"/>
        <v>0</v>
      </c>
      <c r="AF285" s="78"/>
      <c r="AG285" s="78"/>
      <c r="AH285" s="78"/>
    </row>
    <row r="286" ht="15.75" customHeight="1">
      <c r="A286" s="78"/>
      <c r="B286" s="79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80" t="str">
        <f t="shared" si="1"/>
        <v/>
      </c>
      <c r="Q286" s="80" t="str">
        <f t="shared" si="2"/>
        <v/>
      </c>
      <c r="R286" s="81"/>
      <c r="S286" s="81"/>
      <c r="T286" s="81"/>
      <c r="U286" s="81"/>
      <c r="V286" s="81"/>
      <c r="W286" s="81"/>
      <c r="X286" s="82" t="str">
        <f t="shared" si="3"/>
        <v/>
      </c>
      <c r="Y286" s="82" t="str">
        <f t="shared" si="4"/>
        <v/>
      </c>
      <c r="Z286" s="82" t="str">
        <f t="shared" si="5"/>
        <v/>
      </c>
      <c r="AA286" s="82" t="str">
        <f t="shared" si="6"/>
        <v/>
      </c>
      <c r="AB286" s="83">
        <f t="shared" si="7"/>
        <v>0</v>
      </c>
      <c r="AC286" s="83">
        <f t="shared" si="8"/>
        <v>0</v>
      </c>
      <c r="AD286" s="78"/>
      <c r="AE286" s="83">
        <f t="shared" si="9"/>
        <v>0</v>
      </c>
      <c r="AF286" s="78"/>
      <c r="AG286" s="78"/>
      <c r="AH286" s="78"/>
    </row>
    <row r="287" ht="15.75" customHeight="1">
      <c r="A287" s="78"/>
      <c r="B287" s="79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80" t="str">
        <f t="shared" si="1"/>
        <v/>
      </c>
      <c r="Q287" s="80" t="str">
        <f t="shared" si="2"/>
        <v/>
      </c>
      <c r="R287" s="81"/>
      <c r="S287" s="81"/>
      <c r="T287" s="81"/>
      <c r="U287" s="81"/>
      <c r="V287" s="81"/>
      <c r="W287" s="81"/>
      <c r="X287" s="82" t="str">
        <f t="shared" si="3"/>
        <v/>
      </c>
      <c r="Y287" s="82" t="str">
        <f t="shared" si="4"/>
        <v/>
      </c>
      <c r="Z287" s="82" t="str">
        <f t="shared" si="5"/>
        <v/>
      </c>
      <c r="AA287" s="82" t="str">
        <f t="shared" si="6"/>
        <v/>
      </c>
      <c r="AB287" s="83">
        <f t="shared" si="7"/>
        <v>0</v>
      </c>
      <c r="AC287" s="83">
        <f t="shared" si="8"/>
        <v>0</v>
      </c>
      <c r="AD287" s="78"/>
      <c r="AE287" s="83">
        <f t="shared" si="9"/>
        <v>0</v>
      </c>
      <c r="AF287" s="78"/>
      <c r="AG287" s="78"/>
      <c r="AH287" s="78"/>
    </row>
    <row r="288" ht="15.75" customHeight="1">
      <c r="A288" s="78"/>
      <c r="B288" s="79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80" t="str">
        <f t="shared" si="1"/>
        <v/>
      </c>
      <c r="Q288" s="80" t="str">
        <f t="shared" si="2"/>
        <v/>
      </c>
      <c r="R288" s="81"/>
      <c r="S288" s="81"/>
      <c r="T288" s="81"/>
      <c r="U288" s="81"/>
      <c r="V288" s="81"/>
      <c r="W288" s="81"/>
      <c r="X288" s="82" t="str">
        <f t="shared" si="3"/>
        <v/>
      </c>
      <c r="Y288" s="82" t="str">
        <f t="shared" si="4"/>
        <v/>
      </c>
      <c r="Z288" s="82" t="str">
        <f t="shared" si="5"/>
        <v/>
      </c>
      <c r="AA288" s="82" t="str">
        <f t="shared" si="6"/>
        <v/>
      </c>
      <c r="AB288" s="83">
        <f t="shared" si="7"/>
        <v>0</v>
      </c>
      <c r="AC288" s="83">
        <f t="shared" si="8"/>
        <v>0</v>
      </c>
      <c r="AD288" s="78"/>
      <c r="AE288" s="83">
        <f t="shared" si="9"/>
        <v>0</v>
      </c>
      <c r="AF288" s="78"/>
      <c r="AG288" s="78"/>
      <c r="AH288" s="78"/>
    </row>
    <row r="289" ht="15.75" customHeight="1">
      <c r="A289" s="78"/>
      <c r="B289" s="79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80" t="str">
        <f t="shared" si="1"/>
        <v/>
      </c>
      <c r="Q289" s="80" t="str">
        <f t="shared" si="2"/>
        <v/>
      </c>
      <c r="R289" s="81"/>
      <c r="S289" s="81"/>
      <c r="T289" s="81"/>
      <c r="U289" s="81"/>
      <c r="V289" s="81"/>
      <c r="W289" s="81"/>
      <c r="X289" s="82" t="str">
        <f t="shared" si="3"/>
        <v/>
      </c>
      <c r="Y289" s="82" t="str">
        <f t="shared" si="4"/>
        <v/>
      </c>
      <c r="Z289" s="82" t="str">
        <f t="shared" si="5"/>
        <v/>
      </c>
      <c r="AA289" s="82" t="str">
        <f t="shared" si="6"/>
        <v/>
      </c>
      <c r="AB289" s="83">
        <f t="shared" si="7"/>
        <v>0</v>
      </c>
      <c r="AC289" s="83">
        <f t="shared" si="8"/>
        <v>0</v>
      </c>
      <c r="AD289" s="78"/>
      <c r="AE289" s="83">
        <f t="shared" si="9"/>
        <v>0</v>
      </c>
      <c r="AF289" s="78"/>
      <c r="AG289" s="78"/>
      <c r="AH289" s="78"/>
    </row>
    <row r="290" ht="15.75" customHeight="1">
      <c r="A290" s="78"/>
      <c r="B290" s="79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80" t="str">
        <f t="shared" si="1"/>
        <v/>
      </c>
      <c r="Q290" s="80" t="str">
        <f t="shared" si="2"/>
        <v/>
      </c>
      <c r="R290" s="81"/>
      <c r="S290" s="81"/>
      <c r="T290" s="81"/>
      <c r="U290" s="81"/>
      <c r="V290" s="81"/>
      <c r="W290" s="81"/>
      <c r="X290" s="82" t="str">
        <f t="shared" si="3"/>
        <v/>
      </c>
      <c r="Y290" s="82" t="str">
        <f t="shared" si="4"/>
        <v/>
      </c>
      <c r="Z290" s="82" t="str">
        <f t="shared" si="5"/>
        <v/>
      </c>
      <c r="AA290" s="82" t="str">
        <f t="shared" si="6"/>
        <v/>
      </c>
      <c r="AB290" s="83">
        <f t="shared" si="7"/>
        <v>0</v>
      </c>
      <c r="AC290" s="83">
        <f t="shared" si="8"/>
        <v>0</v>
      </c>
      <c r="AD290" s="78"/>
      <c r="AE290" s="83">
        <f t="shared" si="9"/>
        <v>0</v>
      </c>
      <c r="AF290" s="78"/>
      <c r="AG290" s="78"/>
      <c r="AH290" s="78"/>
    </row>
    <row r="291" ht="15.75" customHeight="1">
      <c r="A291" s="78"/>
      <c r="B291" s="79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80" t="str">
        <f t="shared" si="1"/>
        <v/>
      </c>
      <c r="Q291" s="80" t="str">
        <f t="shared" si="2"/>
        <v/>
      </c>
      <c r="R291" s="81"/>
      <c r="S291" s="81"/>
      <c r="T291" s="81"/>
      <c r="U291" s="81"/>
      <c r="V291" s="81"/>
      <c r="W291" s="81"/>
      <c r="X291" s="82" t="str">
        <f t="shared" si="3"/>
        <v/>
      </c>
      <c r="Y291" s="82" t="str">
        <f t="shared" si="4"/>
        <v/>
      </c>
      <c r="Z291" s="82" t="str">
        <f t="shared" si="5"/>
        <v/>
      </c>
      <c r="AA291" s="82" t="str">
        <f t="shared" si="6"/>
        <v/>
      </c>
      <c r="AB291" s="83">
        <f t="shared" si="7"/>
        <v>0</v>
      </c>
      <c r="AC291" s="83">
        <f t="shared" si="8"/>
        <v>0</v>
      </c>
      <c r="AD291" s="78"/>
      <c r="AE291" s="83">
        <f t="shared" si="9"/>
        <v>0</v>
      </c>
      <c r="AF291" s="78"/>
      <c r="AG291" s="78"/>
      <c r="AH291" s="78"/>
    </row>
    <row r="292" ht="15.75" customHeight="1">
      <c r="A292" s="78"/>
      <c r="B292" s="79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80" t="str">
        <f t="shared" si="1"/>
        <v/>
      </c>
      <c r="Q292" s="80" t="str">
        <f t="shared" si="2"/>
        <v/>
      </c>
      <c r="R292" s="81"/>
      <c r="S292" s="81"/>
      <c r="T292" s="81"/>
      <c r="U292" s="81"/>
      <c r="V292" s="81"/>
      <c r="W292" s="81"/>
      <c r="X292" s="82" t="str">
        <f t="shared" si="3"/>
        <v/>
      </c>
      <c r="Y292" s="82" t="str">
        <f t="shared" si="4"/>
        <v/>
      </c>
      <c r="Z292" s="82" t="str">
        <f t="shared" si="5"/>
        <v/>
      </c>
      <c r="AA292" s="82" t="str">
        <f t="shared" si="6"/>
        <v/>
      </c>
      <c r="AB292" s="83">
        <f t="shared" si="7"/>
        <v>0</v>
      </c>
      <c r="AC292" s="83">
        <f t="shared" si="8"/>
        <v>0</v>
      </c>
      <c r="AD292" s="78"/>
      <c r="AE292" s="83">
        <f t="shared" si="9"/>
        <v>0</v>
      </c>
      <c r="AF292" s="78"/>
      <c r="AG292" s="78"/>
      <c r="AH292" s="78"/>
    </row>
    <row r="293" ht="15.75" customHeight="1">
      <c r="A293" s="78"/>
      <c r="B293" s="79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80" t="str">
        <f t="shared" si="1"/>
        <v/>
      </c>
      <c r="Q293" s="80" t="str">
        <f t="shared" si="2"/>
        <v/>
      </c>
      <c r="R293" s="81"/>
      <c r="S293" s="81"/>
      <c r="T293" s="81"/>
      <c r="U293" s="81"/>
      <c r="V293" s="81"/>
      <c r="W293" s="81"/>
      <c r="X293" s="82" t="str">
        <f t="shared" si="3"/>
        <v/>
      </c>
      <c r="Y293" s="82" t="str">
        <f t="shared" si="4"/>
        <v/>
      </c>
      <c r="Z293" s="82" t="str">
        <f t="shared" si="5"/>
        <v/>
      </c>
      <c r="AA293" s="82" t="str">
        <f t="shared" si="6"/>
        <v/>
      </c>
      <c r="AB293" s="83">
        <f t="shared" si="7"/>
        <v>0</v>
      </c>
      <c r="AC293" s="83">
        <f t="shared" si="8"/>
        <v>0</v>
      </c>
      <c r="AD293" s="78"/>
      <c r="AE293" s="83">
        <f t="shared" si="9"/>
        <v>0</v>
      </c>
      <c r="AF293" s="78"/>
      <c r="AG293" s="78"/>
      <c r="AH293" s="78"/>
    </row>
    <row r="294" ht="15.75" customHeight="1">
      <c r="A294" s="78"/>
      <c r="B294" s="79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80" t="str">
        <f t="shared" si="1"/>
        <v/>
      </c>
      <c r="Q294" s="80" t="str">
        <f t="shared" si="2"/>
        <v/>
      </c>
      <c r="R294" s="81"/>
      <c r="S294" s="81"/>
      <c r="T294" s="81"/>
      <c r="U294" s="81"/>
      <c r="V294" s="81"/>
      <c r="W294" s="81"/>
      <c r="X294" s="82" t="str">
        <f t="shared" si="3"/>
        <v/>
      </c>
      <c r="Y294" s="82" t="str">
        <f t="shared" si="4"/>
        <v/>
      </c>
      <c r="Z294" s="82" t="str">
        <f t="shared" si="5"/>
        <v/>
      </c>
      <c r="AA294" s="82" t="str">
        <f t="shared" si="6"/>
        <v/>
      </c>
      <c r="AB294" s="83">
        <f t="shared" si="7"/>
        <v>0</v>
      </c>
      <c r="AC294" s="83">
        <f t="shared" si="8"/>
        <v>0</v>
      </c>
      <c r="AD294" s="78"/>
      <c r="AE294" s="83">
        <f t="shared" si="9"/>
        <v>0</v>
      </c>
      <c r="AF294" s="78"/>
      <c r="AG294" s="78"/>
      <c r="AH294" s="78"/>
    </row>
    <row r="295" ht="15.75" customHeight="1">
      <c r="A295" s="78"/>
      <c r="B295" s="79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80" t="str">
        <f t="shared" si="1"/>
        <v/>
      </c>
      <c r="Q295" s="80" t="str">
        <f t="shared" si="2"/>
        <v/>
      </c>
      <c r="R295" s="81"/>
      <c r="S295" s="81"/>
      <c r="T295" s="81"/>
      <c r="U295" s="81"/>
      <c r="V295" s="81"/>
      <c r="W295" s="81"/>
      <c r="X295" s="82" t="str">
        <f t="shared" si="3"/>
        <v/>
      </c>
      <c r="Y295" s="82" t="str">
        <f t="shared" si="4"/>
        <v/>
      </c>
      <c r="Z295" s="82" t="str">
        <f t="shared" si="5"/>
        <v/>
      </c>
      <c r="AA295" s="82" t="str">
        <f t="shared" si="6"/>
        <v/>
      </c>
      <c r="AB295" s="83">
        <f t="shared" si="7"/>
        <v>0</v>
      </c>
      <c r="AC295" s="83">
        <f t="shared" si="8"/>
        <v>0</v>
      </c>
      <c r="AD295" s="78"/>
      <c r="AE295" s="83">
        <f t="shared" si="9"/>
        <v>0</v>
      </c>
      <c r="AF295" s="78"/>
      <c r="AG295" s="78"/>
      <c r="AH295" s="78"/>
    </row>
    <row r="296" ht="15.75" customHeight="1">
      <c r="A296" s="78"/>
      <c r="B296" s="79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80" t="str">
        <f t="shared" si="1"/>
        <v/>
      </c>
      <c r="Q296" s="80" t="str">
        <f t="shared" si="2"/>
        <v/>
      </c>
      <c r="R296" s="81"/>
      <c r="S296" s="81"/>
      <c r="T296" s="81"/>
      <c r="U296" s="81"/>
      <c r="V296" s="81"/>
      <c r="W296" s="81"/>
      <c r="X296" s="82" t="str">
        <f t="shared" si="3"/>
        <v/>
      </c>
      <c r="Y296" s="82" t="str">
        <f t="shared" si="4"/>
        <v/>
      </c>
      <c r="Z296" s="82" t="str">
        <f t="shared" si="5"/>
        <v/>
      </c>
      <c r="AA296" s="82" t="str">
        <f t="shared" si="6"/>
        <v/>
      </c>
      <c r="AB296" s="83">
        <f t="shared" si="7"/>
        <v>0</v>
      </c>
      <c r="AC296" s="83">
        <f t="shared" si="8"/>
        <v>0</v>
      </c>
      <c r="AD296" s="78"/>
      <c r="AE296" s="83">
        <f t="shared" si="9"/>
        <v>0</v>
      </c>
      <c r="AF296" s="78"/>
      <c r="AG296" s="78"/>
      <c r="AH296" s="78"/>
    </row>
    <row r="297" ht="15.75" customHeight="1">
      <c r="A297" s="78"/>
      <c r="B297" s="79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80" t="str">
        <f t="shared" si="1"/>
        <v/>
      </c>
      <c r="Q297" s="80" t="str">
        <f t="shared" si="2"/>
        <v/>
      </c>
      <c r="R297" s="81"/>
      <c r="S297" s="81"/>
      <c r="T297" s="81"/>
      <c r="U297" s="81"/>
      <c r="V297" s="81"/>
      <c r="W297" s="81"/>
      <c r="X297" s="82" t="str">
        <f t="shared" si="3"/>
        <v/>
      </c>
      <c r="Y297" s="82" t="str">
        <f t="shared" si="4"/>
        <v/>
      </c>
      <c r="Z297" s="82" t="str">
        <f t="shared" si="5"/>
        <v/>
      </c>
      <c r="AA297" s="82" t="str">
        <f t="shared" si="6"/>
        <v/>
      </c>
      <c r="AB297" s="83">
        <f t="shared" si="7"/>
        <v>0</v>
      </c>
      <c r="AC297" s="83">
        <f t="shared" si="8"/>
        <v>0</v>
      </c>
      <c r="AD297" s="78"/>
      <c r="AE297" s="83">
        <f t="shared" si="9"/>
        <v>0</v>
      </c>
      <c r="AF297" s="78"/>
      <c r="AG297" s="78"/>
      <c r="AH297" s="78"/>
    </row>
    <row r="298" ht="15.75" customHeight="1">
      <c r="A298" s="78"/>
      <c r="B298" s="79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80" t="str">
        <f t="shared" si="1"/>
        <v/>
      </c>
      <c r="Q298" s="80" t="str">
        <f t="shared" si="2"/>
        <v/>
      </c>
      <c r="R298" s="81"/>
      <c r="S298" s="81"/>
      <c r="T298" s="81"/>
      <c r="U298" s="81"/>
      <c r="V298" s="81"/>
      <c r="W298" s="81"/>
      <c r="X298" s="82" t="str">
        <f t="shared" si="3"/>
        <v/>
      </c>
      <c r="Y298" s="82" t="str">
        <f t="shared" si="4"/>
        <v/>
      </c>
      <c r="Z298" s="82" t="str">
        <f t="shared" si="5"/>
        <v/>
      </c>
      <c r="AA298" s="82" t="str">
        <f t="shared" si="6"/>
        <v/>
      </c>
      <c r="AB298" s="83">
        <f t="shared" si="7"/>
        <v>0</v>
      </c>
      <c r="AC298" s="83">
        <f t="shared" si="8"/>
        <v>0</v>
      </c>
      <c r="AD298" s="78"/>
      <c r="AE298" s="83">
        <f t="shared" si="9"/>
        <v>0</v>
      </c>
      <c r="AF298" s="78"/>
      <c r="AG298" s="78"/>
      <c r="AH298" s="78"/>
    </row>
    <row r="299" ht="15.75" customHeight="1">
      <c r="A299" s="78"/>
      <c r="B299" s="79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80" t="str">
        <f t="shared" si="1"/>
        <v/>
      </c>
      <c r="Q299" s="80" t="str">
        <f t="shared" si="2"/>
        <v/>
      </c>
      <c r="R299" s="81"/>
      <c r="S299" s="81"/>
      <c r="T299" s="81"/>
      <c r="U299" s="81"/>
      <c r="V299" s="81"/>
      <c r="W299" s="81"/>
      <c r="X299" s="82" t="str">
        <f t="shared" si="3"/>
        <v/>
      </c>
      <c r="Y299" s="82" t="str">
        <f t="shared" si="4"/>
        <v/>
      </c>
      <c r="Z299" s="82" t="str">
        <f t="shared" si="5"/>
        <v/>
      </c>
      <c r="AA299" s="82" t="str">
        <f t="shared" si="6"/>
        <v/>
      </c>
      <c r="AB299" s="83">
        <f t="shared" si="7"/>
        <v>0</v>
      </c>
      <c r="AC299" s="83">
        <f t="shared" si="8"/>
        <v>0</v>
      </c>
      <c r="AD299" s="78"/>
      <c r="AE299" s="83">
        <f t="shared" si="9"/>
        <v>0</v>
      </c>
      <c r="AF299" s="78"/>
      <c r="AG299" s="78"/>
      <c r="AH299" s="78"/>
    </row>
    <row r="300" ht="15.75" customHeight="1">
      <c r="A300" s="78"/>
      <c r="B300" s="79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80" t="str">
        <f t="shared" si="1"/>
        <v/>
      </c>
      <c r="Q300" s="80" t="str">
        <f t="shared" si="2"/>
        <v/>
      </c>
      <c r="R300" s="81"/>
      <c r="S300" s="81"/>
      <c r="T300" s="81"/>
      <c r="U300" s="81"/>
      <c r="V300" s="81"/>
      <c r="W300" s="81"/>
      <c r="X300" s="82" t="str">
        <f t="shared" si="3"/>
        <v/>
      </c>
      <c r="Y300" s="82" t="str">
        <f t="shared" si="4"/>
        <v/>
      </c>
      <c r="Z300" s="82" t="str">
        <f t="shared" si="5"/>
        <v/>
      </c>
      <c r="AA300" s="82" t="str">
        <f t="shared" si="6"/>
        <v/>
      </c>
      <c r="AB300" s="83">
        <f t="shared" si="7"/>
        <v>0</v>
      </c>
      <c r="AC300" s="83">
        <f t="shared" si="8"/>
        <v>0</v>
      </c>
      <c r="AD300" s="78"/>
      <c r="AE300" s="83">
        <f t="shared" si="9"/>
        <v>0</v>
      </c>
      <c r="AF300" s="78"/>
      <c r="AG300" s="78"/>
      <c r="AH300" s="78"/>
    </row>
    <row r="301" ht="15.75" customHeight="1">
      <c r="A301" s="78"/>
      <c r="B301" s="79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80" t="str">
        <f t="shared" si="1"/>
        <v/>
      </c>
      <c r="Q301" s="80" t="str">
        <f t="shared" si="2"/>
        <v/>
      </c>
      <c r="R301" s="81"/>
      <c r="S301" s="81"/>
      <c r="T301" s="81"/>
      <c r="U301" s="81"/>
      <c r="V301" s="81"/>
      <c r="W301" s="81"/>
      <c r="X301" s="82" t="str">
        <f t="shared" si="3"/>
        <v/>
      </c>
      <c r="Y301" s="82" t="str">
        <f t="shared" si="4"/>
        <v/>
      </c>
      <c r="Z301" s="82" t="str">
        <f t="shared" si="5"/>
        <v/>
      </c>
      <c r="AA301" s="82" t="str">
        <f t="shared" si="6"/>
        <v/>
      </c>
      <c r="AB301" s="83">
        <f t="shared" si="7"/>
        <v>0</v>
      </c>
      <c r="AC301" s="83">
        <f t="shared" si="8"/>
        <v>0</v>
      </c>
      <c r="AD301" s="78"/>
      <c r="AE301" s="83">
        <f t="shared" si="9"/>
        <v>0</v>
      </c>
      <c r="AF301" s="78"/>
      <c r="AG301" s="78"/>
      <c r="AH301" s="78"/>
    </row>
    <row r="302" ht="15.75" customHeight="1">
      <c r="A302" s="78"/>
      <c r="B302" s="79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80" t="str">
        <f t="shared" si="1"/>
        <v/>
      </c>
      <c r="Q302" s="80" t="str">
        <f t="shared" si="2"/>
        <v/>
      </c>
      <c r="R302" s="81"/>
      <c r="S302" s="81"/>
      <c r="T302" s="81"/>
      <c r="U302" s="81"/>
      <c r="V302" s="81"/>
      <c r="W302" s="81"/>
      <c r="X302" s="82" t="str">
        <f t="shared" si="3"/>
        <v/>
      </c>
      <c r="Y302" s="82" t="str">
        <f t="shared" si="4"/>
        <v/>
      </c>
      <c r="Z302" s="82" t="str">
        <f t="shared" si="5"/>
        <v/>
      </c>
      <c r="AA302" s="82" t="str">
        <f t="shared" si="6"/>
        <v/>
      </c>
      <c r="AB302" s="83">
        <f t="shared" si="7"/>
        <v>0</v>
      </c>
      <c r="AC302" s="83">
        <f t="shared" si="8"/>
        <v>0</v>
      </c>
      <c r="AD302" s="78"/>
      <c r="AE302" s="83">
        <f t="shared" si="9"/>
        <v>0</v>
      </c>
      <c r="AF302" s="78"/>
      <c r="AG302" s="78"/>
      <c r="AH302" s="78"/>
    </row>
    <row r="303" ht="15.75" customHeight="1">
      <c r="A303" s="78"/>
      <c r="B303" s="79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80" t="str">
        <f t="shared" si="1"/>
        <v/>
      </c>
      <c r="Q303" s="80" t="str">
        <f t="shared" si="2"/>
        <v/>
      </c>
      <c r="R303" s="81"/>
      <c r="S303" s="81"/>
      <c r="T303" s="81"/>
      <c r="U303" s="81"/>
      <c r="V303" s="81"/>
      <c r="W303" s="81"/>
      <c r="X303" s="82" t="str">
        <f t="shared" si="3"/>
        <v/>
      </c>
      <c r="Y303" s="82" t="str">
        <f t="shared" si="4"/>
        <v/>
      </c>
      <c r="Z303" s="82" t="str">
        <f t="shared" si="5"/>
        <v/>
      </c>
      <c r="AA303" s="82" t="str">
        <f t="shared" si="6"/>
        <v/>
      </c>
      <c r="AB303" s="83">
        <f t="shared" si="7"/>
        <v>0</v>
      </c>
      <c r="AC303" s="83">
        <f t="shared" si="8"/>
        <v>0</v>
      </c>
      <c r="AD303" s="78"/>
      <c r="AE303" s="83">
        <f t="shared" si="9"/>
        <v>0</v>
      </c>
      <c r="AF303" s="78"/>
      <c r="AG303" s="78"/>
      <c r="AH303" s="78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H1"/>
    <mergeCell ref="A2:AH2"/>
  </mergeCells>
  <conditionalFormatting sqref="P4:P3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>
    <dataValidation type="list" allowBlank="1" sqref="M4:O303">
      <formula1>"1,2,3,4,5"</formula1>
    </dataValidation>
    <dataValidation type="list" allowBlank="1" sqref="AF4:AF303">
      <formula1>Lists!$M$2:$M$6</formula1>
    </dataValidation>
    <dataValidation type="list" allowBlank="1" sqref="I4:I303">
      <formula1>Lists!$Q$2:$Q$8</formula1>
    </dataValidation>
    <dataValidation type="list" allowBlank="1" sqref="L4:L303">
      <formula1>Lists!$L$2:$L$11</formula1>
    </dataValidation>
    <dataValidation type="list" allowBlank="1" sqref="AG4:AG303">
      <formula1>Lists!$N$2:$N$8</formula1>
    </dataValidation>
    <dataValidation type="list" allowBlank="1" sqref="D4:D303">
      <formula1>Lists!$O$2:$O$10</formula1>
    </dataValidation>
    <dataValidation type="list" allowBlank="1" sqref="K4:K303">
      <formula1>Lists!$K$2:$K$10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4.0"/>
    <col customWidth="1" min="4" max="4" width="20.0"/>
    <col customWidth="1" min="5" max="5" width="22.0"/>
    <col customWidth="1" min="6" max="6" width="24.0"/>
    <col customWidth="1" min="7" max="7" width="12.0"/>
    <col customWidth="1" min="8" max="10" width="14.0"/>
    <col customWidth="1" min="11" max="11" width="22.0"/>
    <col customWidth="1" min="12" max="12" width="12.0"/>
    <col customWidth="1" min="13" max="13" width="14.0"/>
    <col customWidth="1" min="14" max="14" width="12.0"/>
    <col customWidth="1" min="15" max="17" width="10.0"/>
    <col customWidth="1" min="18" max="20" width="16.0"/>
    <col customWidth="1" min="21" max="23" width="12.0"/>
    <col customWidth="1" min="24" max="24" width="14.0"/>
    <col customWidth="1" min="25" max="25" width="32.0"/>
    <col customWidth="1" min="26" max="26" width="8.63"/>
  </cols>
  <sheetData>
    <row r="1" ht="24.0" customHeight="1">
      <c r="A1" s="71" t="s">
        <v>797</v>
      </c>
    </row>
    <row r="2" ht="24.0" customHeight="1">
      <c r="A2" s="72" t="s">
        <v>798</v>
      </c>
    </row>
    <row r="3" ht="24.0" customHeight="1">
      <c r="A3" s="77" t="s">
        <v>799</v>
      </c>
      <c r="B3" s="77" t="s">
        <v>253</v>
      </c>
      <c r="C3" s="77" t="s">
        <v>800</v>
      </c>
      <c r="D3" s="77" t="s">
        <v>801</v>
      </c>
      <c r="E3" s="77" t="s">
        <v>802</v>
      </c>
      <c r="F3" s="77" t="s">
        <v>803</v>
      </c>
      <c r="G3" s="77" t="s">
        <v>804</v>
      </c>
      <c r="H3" s="77" t="s">
        <v>805</v>
      </c>
      <c r="I3" s="77" t="s">
        <v>806</v>
      </c>
      <c r="J3" s="77" t="s">
        <v>807</v>
      </c>
      <c r="K3" s="77" t="s">
        <v>808</v>
      </c>
      <c r="L3" s="77" t="s">
        <v>766</v>
      </c>
      <c r="M3" s="77" t="s">
        <v>809</v>
      </c>
      <c r="N3" s="77" t="s">
        <v>810</v>
      </c>
      <c r="O3" s="77" t="s">
        <v>811</v>
      </c>
      <c r="P3" s="77" t="s">
        <v>812</v>
      </c>
      <c r="Q3" s="77" t="s">
        <v>813</v>
      </c>
      <c r="R3" s="77" t="s">
        <v>710</v>
      </c>
      <c r="S3" s="77" t="s">
        <v>814</v>
      </c>
      <c r="T3" s="77" t="s">
        <v>815</v>
      </c>
      <c r="U3" s="77" t="s">
        <v>591</v>
      </c>
      <c r="V3" s="77" t="s">
        <v>816</v>
      </c>
      <c r="W3" s="77" t="s">
        <v>817</v>
      </c>
      <c r="X3" s="77" t="s">
        <v>121</v>
      </c>
      <c r="Y3" s="77" t="s">
        <v>31</v>
      </c>
    </row>
    <row r="4">
      <c r="A4" s="78" t="s">
        <v>818</v>
      </c>
      <c r="B4" s="79">
        <v>46162.0</v>
      </c>
      <c r="C4" s="78" t="s">
        <v>819</v>
      </c>
      <c r="D4" s="78" t="s">
        <v>820</v>
      </c>
      <c r="E4" s="78" t="s">
        <v>723</v>
      </c>
      <c r="F4" s="78" t="s">
        <v>107</v>
      </c>
      <c r="G4" s="81">
        <v>30.0</v>
      </c>
      <c r="H4" s="84">
        <v>35000.0</v>
      </c>
      <c r="I4" s="82">
        <f t="shared" ref="I4:I203" si="1">IF(C4="","",G4*H4)</f>
        <v>1050000</v>
      </c>
      <c r="J4" s="84" t="s">
        <v>438</v>
      </c>
      <c r="K4" s="78" t="s">
        <v>717</v>
      </c>
      <c r="L4" s="78">
        <v>24.0</v>
      </c>
      <c r="M4" s="78">
        <v>18.0</v>
      </c>
      <c r="N4" s="78">
        <v>12.0</v>
      </c>
      <c r="O4" s="78">
        <v>10.0</v>
      </c>
      <c r="P4" s="78">
        <v>3.0</v>
      </c>
      <c r="Q4" s="78">
        <v>20.0</v>
      </c>
      <c r="R4" s="82">
        <f t="shared" ref="R4:R203" si="2">IF(C4="","",O4*199000+P4*249000+Q4*60000)</f>
        <v>3937000</v>
      </c>
      <c r="S4" s="84">
        <v>500000.0</v>
      </c>
      <c r="T4" s="82">
        <f t="shared" ref="T4:T203" si="3">IF(C4="","",R4-I4-S4)</f>
        <v>2387000</v>
      </c>
      <c r="U4" s="83">
        <f t="shared" ref="U4:U203" si="4">IFERROR(L4/G4,0)</f>
        <v>0.8</v>
      </c>
      <c r="V4" s="83">
        <f t="shared" ref="V4:V203" si="5">IFERROR(N4/L4,0)</f>
        <v>0.5</v>
      </c>
      <c r="W4" s="83">
        <f t="shared" ref="W4:W203" si="6">IFERROR(T4/I4,0)</f>
        <v>2.273333333</v>
      </c>
      <c r="X4" s="78" t="s">
        <v>821</v>
      </c>
      <c r="Y4" s="78" t="s">
        <v>822</v>
      </c>
    </row>
    <row r="5">
      <c r="A5" s="78" t="s">
        <v>823</v>
      </c>
      <c r="B5" s="79">
        <v>46163.0</v>
      </c>
      <c r="C5" s="78" t="s">
        <v>824</v>
      </c>
      <c r="D5" s="78" t="s">
        <v>735</v>
      </c>
      <c r="E5" s="78" t="s">
        <v>539</v>
      </c>
      <c r="F5" s="78" t="s">
        <v>634</v>
      </c>
      <c r="G5" s="81">
        <v>50.0</v>
      </c>
      <c r="H5" s="84">
        <v>18000.0</v>
      </c>
      <c r="I5" s="82">
        <f t="shared" si="1"/>
        <v>900000</v>
      </c>
      <c r="J5" s="84" t="s">
        <v>615</v>
      </c>
      <c r="K5" s="78" t="s">
        <v>729</v>
      </c>
      <c r="L5" s="78">
        <v>35.0</v>
      </c>
      <c r="M5" s="78">
        <v>25.0</v>
      </c>
      <c r="N5" s="78">
        <v>18.0</v>
      </c>
      <c r="O5" s="78">
        <v>15.0</v>
      </c>
      <c r="P5" s="78">
        <v>4.0</v>
      </c>
      <c r="Q5" s="78">
        <v>25.0</v>
      </c>
      <c r="R5" s="82">
        <f t="shared" si="2"/>
        <v>5481000</v>
      </c>
      <c r="S5" s="84">
        <v>500000.0</v>
      </c>
      <c r="T5" s="82">
        <f t="shared" si="3"/>
        <v>4081000</v>
      </c>
      <c r="U5" s="83">
        <f t="shared" si="4"/>
        <v>0.7</v>
      </c>
      <c r="V5" s="83">
        <f t="shared" si="5"/>
        <v>0.5142857143</v>
      </c>
      <c r="W5" s="83">
        <f t="shared" si="6"/>
        <v>4.534444444</v>
      </c>
      <c r="X5" s="78" t="s">
        <v>821</v>
      </c>
      <c r="Y5" s="78" t="s">
        <v>825</v>
      </c>
    </row>
    <row r="6">
      <c r="A6" s="78" t="s">
        <v>826</v>
      </c>
      <c r="B6" s="79">
        <v>46164.0</v>
      </c>
      <c r="C6" s="78" t="s">
        <v>827</v>
      </c>
      <c r="D6" s="78" t="s">
        <v>828</v>
      </c>
      <c r="E6" s="78" t="s">
        <v>746</v>
      </c>
      <c r="F6" s="78" t="s">
        <v>748</v>
      </c>
      <c r="G6" s="81">
        <v>10.0</v>
      </c>
      <c r="H6" s="84">
        <v>18000.0</v>
      </c>
      <c r="I6" s="82">
        <f t="shared" si="1"/>
        <v>180000</v>
      </c>
      <c r="J6" s="84" t="s">
        <v>459</v>
      </c>
      <c r="K6" s="78" t="s">
        <v>740</v>
      </c>
      <c r="L6" s="78">
        <v>2.0</v>
      </c>
      <c r="M6" s="78">
        <v>1.0</v>
      </c>
      <c r="N6" s="78">
        <v>0.0</v>
      </c>
      <c r="O6" s="78">
        <v>0.0</v>
      </c>
      <c r="P6" s="78">
        <v>0.0</v>
      </c>
      <c r="Q6" s="78">
        <v>0.0</v>
      </c>
      <c r="R6" s="82">
        <f t="shared" si="2"/>
        <v>0</v>
      </c>
      <c r="S6" s="84">
        <v>500000.0</v>
      </c>
      <c r="T6" s="82">
        <f t="shared" si="3"/>
        <v>-680000</v>
      </c>
      <c r="U6" s="83">
        <f t="shared" si="4"/>
        <v>0.2</v>
      </c>
      <c r="V6" s="83">
        <f t="shared" si="5"/>
        <v>0</v>
      </c>
      <c r="W6" s="83">
        <f t="shared" si="6"/>
        <v>-3.777777778</v>
      </c>
      <c r="X6" s="78" t="s">
        <v>821</v>
      </c>
      <c r="Y6" s="78" t="s">
        <v>829</v>
      </c>
    </row>
    <row r="7">
      <c r="A7" s="78"/>
      <c r="B7" s="79"/>
      <c r="C7" s="78"/>
      <c r="D7" s="78"/>
      <c r="E7" s="78"/>
      <c r="F7" s="78"/>
      <c r="G7" s="81"/>
      <c r="H7" s="84"/>
      <c r="I7" s="82" t="str">
        <f t="shared" si="1"/>
        <v/>
      </c>
      <c r="J7" s="84"/>
      <c r="K7" s="78"/>
      <c r="L7" s="78"/>
      <c r="M7" s="78"/>
      <c r="N7" s="78"/>
      <c r="O7" s="78"/>
      <c r="P7" s="78"/>
      <c r="Q7" s="78"/>
      <c r="R7" s="82" t="str">
        <f t="shared" si="2"/>
        <v/>
      </c>
      <c r="S7" s="84">
        <v>500000.0</v>
      </c>
      <c r="T7" s="82" t="str">
        <f t="shared" si="3"/>
        <v/>
      </c>
      <c r="U7" s="83">
        <f t="shared" si="4"/>
        <v>0</v>
      </c>
      <c r="V7" s="83">
        <f t="shared" si="5"/>
        <v>0</v>
      </c>
      <c r="W7" s="83">
        <f t="shared" si="6"/>
        <v>0</v>
      </c>
      <c r="X7" s="78" t="s">
        <v>821</v>
      </c>
      <c r="Y7" s="78"/>
    </row>
    <row r="8">
      <c r="A8" s="78"/>
      <c r="B8" s="79"/>
      <c r="C8" s="78"/>
      <c r="D8" s="78"/>
      <c r="E8" s="78"/>
      <c r="F8" s="78"/>
      <c r="G8" s="81"/>
      <c r="H8" s="84"/>
      <c r="I8" s="82" t="str">
        <f t="shared" si="1"/>
        <v/>
      </c>
      <c r="J8" s="84"/>
      <c r="K8" s="78"/>
      <c r="L8" s="78"/>
      <c r="M8" s="78"/>
      <c r="N8" s="78"/>
      <c r="O8" s="78"/>
      <c r="P8" s="78"/>
      <c r="Q8" s="78"/>
      <c r="R8" s="82" t="str">
        <f t="shared" si="2"/>
        <v/>
      </c>
      <c r="S8" s="84">
        <v>500000.0</v>
      </c>
      <c r="T8" s="82" t="str">
        <f t="shared" si="3"/>
        <v/>
      </c>
      <c r="U8" s="83">
        <f t="shared" si="4"/>
        <v>0</v>
      </c>
      <c r="V8" s="83">
        <f t="shared" si="5"/>
        <v>0</v>
      </c>
      <c r="W8" s="83">
        <f t="shared" si="6"/>
        <v>0</v>
      </c>
      <c r="X8" s="78" t="s">
        <v>821</v>
      </c>
      <c r="Y8" s="78"/>
    </row>
    <row r="9">
      <c r="A9" s="78"/>
      <c r="B9" s="79"/>
      <c r="C9" s="78"/>
      <c r="D9" s="78"/>
      <c r="E9" s="78"/>
      <c r="F9" s="78"/>
      <c r="G9" s="81"/>
      <c r="H9" s="84"/>
      <c r="I9" s="82" t="str">
        <f t="shared" si="1"/>
        <v/>
      </c>
      <c r="J9" s="84"/>
      <c r="K9" s="78"/>
      <c r="L9" s="78"/>
      <c r="M9" s="78"/>
      <c r="N9" s="78"/>
      <c r="O9" s="78"/>
      <c r="P9" s="78"/>
      <c r="Q9" s="78"/>
      <c r="R9" s="82" t="str">
        <f t="shared" si="2"/>
        <v/>
      </c>
      <c r="S9" s="84">
        <v>500000.0</v>
      </c>
      <c r="T9" s="82" t="str">
        <f t="shared" si="3"/>
        <v/>
      </c>
      <c r="U9" s="83">
        <f t="shared" si="4"/>
        <v>0</v>
      </c>
      <c r="V9" s="83">
        <f t="shared" si="5"/>
        <v>0</v>
      </c>
      <c r="W9" s="83">
        <f t="shared" si="6"/>
        <v>0</v>
      </c>
      <c r="X9" s="78" t="s">
        <v>821</v>
      </c>
      <c r="Y9" s="78"/>
    </row>
    <row r="10">
      <c r="A10" s="78"/>
      <c r="B10" s="79"/>
      <c r="C10" s="78"/>
      <c r="D10" s="78"/>
      <c r="E10" s="78"/>
      <c r="F10" s="78"/>
      <c r="G10" s="81"/>
      <c r="H10" s="84"/>
      <c r="I10" s="82" t="str">
        <f t="shared" si="1"/>
        <v/>
      </c>
      <c r="J10" s="84"/>
      <c r="K10" s="78"/>
      <c r="L10" s="78"/>
      <c r="M10" s="78"/>
      <c r="N10" s="78"/>
      <c r="O10" s="78"/>
      <c r="P10" s="78"/>
      <c r="Q10" s="78"/>
      <c r="R10" s="82" t="str">
        <f t="shared" si="2"/>
        <v/>
      </c>
      <c r="S10" s="84">
        <v>500000.0</v>
      </c>
      <c r="T10" s="82" t="str">
        <f t="shared" si="3"/>
        <v/>
      </c>
      <c r="U10" s="83">
        <f t="shared" si="4"/>
        <v>0</v>
      </c>
      <c r="V10" s="83">
        <f t="shared" si="5"/>
        <v>0</v>
      </c>
      <c r="W10" s="83">
        <f t="shared" si="6"/>
        <v>0</v>
      </c>
      <c r="X10" s="78" t="s">
        <v>821</v>
      </c>
      <c r="Y10" s="78"/>
    </row>
    <row r="11">
      <c r="A11" s="78"/>
      <c r="B11" s="79"/>
      <c r="C11" s="78"/>
      <c r="D11" s="78"/>
      <c r="E11" s="78"/>
      <c r="F11" s="78"/>
      <c r="G11" s="81"/>
      <c r="H11" s="84"/>
      <c r="I11" s="82" t="str">
        <f t="shared" si="1"/>
        <v/>
      </c>
      <c r="J11" s="84"/>
      <c r="K11" s="78"/>
      <c r="L11" s="78"/>
      <c r="M11" s="78"/>
      <c r="N11" s="78"/>
      <c r="O11" s="78"/>
      <c r="P11" s="78"/>
      <c r="Q11" s="78"/>
      <c r="R11" s="82" t="str">
        <f t="shared" si="2"/>
        <v/>
      </c>
      <c r="S11" s="84">
        <v>500000.0</v>
      </c>
      <c r="T11" s="82" t="str">
        <f t="shared" si="3"/>
        <v/>
      </c>
      <c r="U11" s="83">
        <f t="shared" si="4"/>
        <v>0</v>
      </c>
      <c r="V11" s="83">
        <f t="shared" si="5"/>
        <v>0</v>
      </c>
      <c r="W11" s="83">
        <f t="shared" si="6"/>
        <v>0</v>
      </c>
      <c r="X11" s="78" t="s">
        <v>821</v>
      </c>
      <c r="Y11" s="78"/>
    </row>
    <row r="12">
      <c r="A12" s="78"/>
      <c r="B12" s="79"/>
      <c r="C12" s="78"/>
      <c r="D12" s="78"/>
      <c r="E12" s="78"/>
      <c r="F12" s="78"/>
      <c r="G12" s="81"/>
      <c r="H12" s="84"/>
      <c r="I12" s="82" t="str">
        <f t="shared" si="1"/>
        <v/>
      </c>
      <c r="J12" s="84"/>
      <c r="K12" s="78"/>
      <c r="L12" s="78"/>
      <c r="M12" s="78"/>
      <c r="N12" s="78"/>
      <c r="O12" s="78"/>
      <c r="P12" s="78"/>
      <c r="Q12" s="78"/>
      <c r="R12" s="82" t="str">
        <f t="shared" si="2"/>
        <v/>
      </c>
      <c r="S12" s="84">
        <v>500000.0</v>
      </c>
      <c r="T12" s="82" t="str">
        <f t="shared" si="3"/>
        <v/>
      </c>
      <c r="U12" s="83">
        <f t="shared" si="4"/>
        <v>0</v>
      </c>
      <c r="V12" s="83">
        <f t="shared" si="5"/>
        <v>0</v>
      </c>
      <c r="W12" s="83">
        <f t="shared" si="6"/>
        <v>0</v>
      </c>
      <c r="X12" s="78" t="s">
        <v>821</v>
      </c>
      <c r="Y12" s="78"/>
    </row>
    <row r="13">
      <c r="A13" s="78"/>
      <c r="B13" s="79"/>
      <c r="C13" s="78"/>
      <c r="D13" s="78"/>
      <c r="E13" s="78"/>
      <c r="F13" s="78"/>
      <c r="G13" s="81"/>
      <c r="H13" s="84"/>
      <c r="I13" s="82" t="str">
        <f t="shared" si="1"/>
        <v/>
      </c>
      <c r="J13" s="84"/>
      <c r="K13" s="78"/>
      <c r="L13" s="78"/>
      <c r="M13" s="78"/>
      <c r="N13" s="78"/>
      <c r="O13" s="78"/>
      <c r="P13" s="78"/>
      <c r="Q13" s="78"/>
      <c r="R13" s="82" t="str">
        <f t="shared" si="2"/>
        <v/>
      </c>
      <c r="S13" s="84">
        <v>500000.0</v>
      </c>
      <c r="T13" s="82" t="str">
        <f t="shared" si="3"/>
        <v/>
      </c>
      <c r="U13" s="83">
        <f t="shared" si="4"/>
        <v>0</v>
      </c>
      <c r="V13" s="83">
        <f t="shared" si="5"/>
        <v>0</v>
      </c>
      <c r="W13" s="83">
        <f t="shared" si="6"/>
        <v>0</v>
      </c>
      <c r="X13" s="78" t="s">
        <v>821</v>
      </c>
      <c r="Y13" s="78"/>
    </row>
    <row r="14">
      <c r="A14" s="78"/>
      <c r="B14" s="79"/>
      <c r="C14" s="78"/>
      <c r="D14" s="78"/>
      <c r="E14" s="78"/>
      <c r="F14" s="78"/>
      <c r="G14" s="81"/>
      <c r="H14" s="84"/>
      <c r="I14" s="82" t="str">
        <f t="shared" si="1"/>
        <v/>
      </c>
      <c r="J14" s="84"/>
      <c r="K14" s="78"/>
      <c r="L14" s="78"/>
      <c r="M14" s="78"/>
      <c r="N14" s="78"/>
      <c r="O14" s="78"/>
      <c r="P14" s="78"/>
      <c r="Q14" s="78"/>
      <c r="R14" s="82" t="str">
        <f t="shared" si="2"/>
        <v/>
      </c>
      <c r="S14" s="84">
        <v>500000.0</v>
      </c>
      <c r="T14" s="82" t="str">
        <f t="shared" si="3"/>
        <v/>
      </c>
      <c r="U14" s="83">
        <f t="shared" si="4"/>
        <v>0</v>
      </c>
      <c r="V14" s="83">
        <f t="shared" si="5"/>
        <v>0</v>
      </c>
      <c r="W14" s="83">
        <f t="shared" si="6"/>
        <v>0</v>
      </c>
      <c r="X14" s="78" t="s">
        <v>821</v>
      </c>
      <c r="Y14" s="78"/>
    </row>
    <row r="15">
      <c r="A15" s="78"/>
      <c r="B15" s="79"/>
      <c r="C15" s="78"/>
      <c r="D15" s="78"/>
      <c r="E15" s="78"/>
      <c r="F15" s="78"/>
      <c r="G15" s="81"/>
      <c r="H15" s="84"/>
      <c r="I15" s="82" t="str">
        <f t="shared" si="1"/>
        <v/>
      </c>
      <c r="J15" s="84"/>
      <c r="K15" s="78"/>
      <c r="L15" s="78"/>
      <c r="M15" s="78"/>
      <c r="N15" s="78"/>
      <c r="O15" s="78"/>
      <c r="P15" s="78"/>
      <c r="Q15" s="78"/>
      <c r="R15" s="82" t="str">
        <f t="shared" si="2"/>
        <v/>
      </c>
      <c r="S15" s="84">
        <v>500000.0</v>
      </c>
      <c r="T15" s="82" t="str">
        <f t="shared" si="3"/>
        <v/>
      </c>
      <c r="U15" s="83">
        <f t="shared" si="4"/>
        <v>0</v>
      </c>
      <c r="V15" s="83">
        <f t="shared" si="5"/>
        <v>0</v>
      </c>
      <c r="W15" s="83">
        <f t="shared" si="6"/>
        <v>0</v>
      </c>
      <c r="X15" s="78" t="s">
        <v>821</v>
      </c>
      <c r="Y15" s="78"/>
    </row>
    <row r="16">
      <c r="A16" s="78"/>
      <c r="B16" s="79"/>
      <c r="C16" s="78"/>
      <c r="D16" s="78"/>
      <c r="E16" s="78"/>
      <c r="F16" s="78"/>
      <c r="G16" s="81"/>
      <c r="H16" s="84"/>
      <c r="I16" s="82" t="str">
        <f t="shared" si="1"/>
        <v/>
      </c>
      <c r="J16" s="84"/>
      <c r="K16" s="78"/>
      <c r="L16" s="78"/>
      <c r="M16" s="78"/>
      <c r="N16" s="78"/>
      <c r="O16" s="78"/>
      <c r="P16" s="78"/>
      <c r="Q16" s="78"/>
      <c r="R16" s="82" t="str">
        <f t="shared" si="2"/>
        <v/>
      </c>
      <c r="S16" s="84">
        <v>500000.0</v>
      </c>
      <c r="T16" s="82" t="str">
        <f t="shared" si="3"/>
        <v/>
      </c>
      <c r="U16" s="83">
        <f t="shared" si="4"/>
        <v>0</v>
      </c>
      <c r="V16" s="83">
        <f t="shared" si="5"/>
        <v>0</v>
      </c>
      <c r="W16" s="83">
        <f t="shared" si="6"/>
        <v>0</v>
      </c>
      <c r="X16" s="78" t="s">
        <v>821</v>
      </c>
      <c r="Y16" s="78"/>
    </row>
    <row r="17">
      <c r="A17" s="78"/>
      <c r="B17" s="79"/>
      <c r="C17" s="78"/>
      <c r="D17" s="78"/>
      <c r="E17" s="78"/>
      <c r="F17" s="78"/>
      <c r="G17" s="81"/>
      <c r="H17" s="84"/>
      <c r="I17" s="82" t="str">
        <f t="shared" si="1"/>
        <v/>
      </c>
      <c r="J17" s="84"/>
      <c r="K17" s="78"/>
      <c r="L17" s="78"/>
      <c r="M17" s="78"/>
      <c r="N17" s="78"/>
      <c r="O17" s="78"/>
      <c r="P17" s="78"/>
      <c r="Q17" s="78"/>
      <c r="R17" s="82" t="str">
        <f t="shared" si="2"/>
        <v/>
      </c>
      <c r="S17" s="84">
        <v>500000.0</v>
      </c>
      <c r="T17" s="82" t="str">
        <f t="shared" si="3"/>
        <v/>
      </c>
      <c r="U17" s="83">
        <f t="shared" si="4"/>
        <v>0</v>
      </c>
      <c r="V17" s="83">
        <f t="shared" si="5"/>
        <v>0</v>
      </c>
      <c r="W17" s="83">
        <f t="shared" si="6"/>
        <v>0</v>
      </c>
      <c r="X17" s="78" t="s">
        <v>821</v>
      </c>
      <c r="Y17" s="78"/>
    </row>
    <row r="18">
      <c r="A18" s="78"/>
      <c r="B18" s="79"/>
      <c r="C18" s="78"/>
      <c r="D18" s="78"/>
      <c r="E18" s="78"/>
      <c r="F18" s="78"/>
      <c r="G18" s="81"/>
      <c r="H18" s="84"/>
      <c r="I18" s="82" t="str">
        <f t="shared" si="1"/>
        <v/>
      </c>
      <c r="J18" s="84"/>
      <c r="K18" s="78"/>
      <c r="L18" s="78"/>
      <c r="M18" s="78"/>
      <c r="N18" s="78"/>
      <c r="O18" s="78"/>
      <c r="P18" s="78"/>
      <c r="Q18" s="78"/>
      <c r="R18" s="82" t="str">
        <f t="shared" si="2"/>
        <v/>
      </c>
      <c r="S18" s="84">
        <v>500000.0</v>
      </c>
      <c r="T18" s="82" t="str">
        <f t="shared" si="3"/>
        <v/>
      </c>
      <c r="U18" s="83">
        <f t="shared" si="4"/>
        <v>0</v>
      </c>
      <c r="V18" s="83">
        <f t="shared" si="5"/>
        <v>0</v>
      </c>
      <c r="W18" s="83">
        <f t="shared" si="6"/>
        <v>0</v>
      </c>
      <c r="X18" s="78" t="s">
        <v>821</v>
      </c>
      <c r="Y18" s="78"/>
    </row>
    <row r="19">
      <c r="A19" s="78"/>
      <c r="B19" s="79"/>
      <c r="C19" s="78"/>
      <c r="D19" s="78"/>
      <c r="E19" s="78"/>
      <c r="F19" s="78"/>
      <c r="G19" s="81"/>
      <c r="H19" s="84"/>
      <c r="I19" s="82" t="str">
        <f t="shared" si="1"/>
        <v/>
      </c>
      <c r="J19" s="84"/>
      <c r="K19" s="78"/>
      <c r="L19" s="78"/>
      <c r="M19" s="78"/>
      <c r="N19" s="78"/>
      <c r="O19" s="78"/>
      <c r="P19" s="78"/>
      <c r="Q19" s="78"/>
      <c r="R19" s="82" t="str">
        <f t="shared" si="2"/>
        <v/>
      </c>
      <c r="S19" s="84">
        <v>500000.0</v>
      </c>
      <c r="T19" s="82" t="str">
        <f t="shared" si="3"/>
        <v/>
      </c>
      <c r="U19" s="83">
        <f t="shared" si="4"/>
        <v>0</v>
      </c>
      <c r="V19" s="83">
        <f t="shared" si="5"/>
        <v>0</v>
      </c>
      <c r="W19" s="83">
        <f t="shared" si="6"/>
        <v>0</v>
      </c>
      <c r="X19" s="78" t="s">
        <v>821</v>
      </c>
      <c r="Y19" s="78"/>
    </row>
    <row r="20">
      <c r="A20" s="78"/>
      <c r="B20" s="79"/>
      <c r="C20" s="78"/>
      <c r="D20" s="78"/>
      <c r="E20" s="78"/>
      <c r="F20" s="78"/>
      <c r="G20" s="81"/>
      <c r="H20" s="84"/>
      <c r="I20" s="82" t="str">
        <f t="shared" si="1"/>
        <v/>
      </c>
      <c r="J20" s="84"/>
      <c r="K20" s="78"/>
      <c r="L20" s="78"/>
      <c r="M20" s="78"/>
      <c r="N20" s="78"/>
      <c r="O20" s="78"/>
      <c r="P20" s="78"/>
      <c r="Q20" s="78"/>
      <c r="R20" s="82" t="str">
        <f t="shared" si="2"/>
        <v/>
      </c>
      <c r="S20" s="84">
        <v>500000.0</v>
      </c>
      <c r="T20" s="82" t="str">
        <f t="shared" si="3"/>
        <v/>
      </c>
      <c r="U20" s="83">
        <f t="shared" si="4"/>
        <v>0</v>
      </c>
      <c r="V20" s="83">
        <f t="shared" si="5"/>
        <v>0</v>
      </c>
      <c r="W20" s="83">
        <f t="shared" si="6"/>
        <v>0</v>
      </c>
      <c r="X20" s="78" t="s">
        <v>821</v>
      </c>
      <c r="Y20" s="78"/>
    </row>
    <row r="21" ht="15.75" customHeight="1">
      <c r="A21" s="78"/>
      <c r="B21" s="79"/>
      <c r="C21" s="78"/>
      <c r="D21" s="78"/>
      <c r="E21" s="78"/>
      <c r="F21" s="78"/>
      <c r="G21" s="81"/>
      <c r="H21" s="84"/>
      <c r="I21" s="82" t="str">
        <f t="shared" si="1"/>
        <v/>
      </c>
      <c r="J21" s="84"/>
      <c r="K21" s="78"/>
      <c r="L21" s="78"/>
      <c r="M21" s="78"/>
      <c r="N21" s="78"/>
      <c r="O21" s="78"/>
      <c r="P21" s="78"/>
      <c r="Q21" s="78"/>
      <c r="R21" s="82" t="str">
        <f t="shared" si="2"/>
        <v/>
      </c>
      <c r="S21" s="84">
        <v>500000.0</v>
      </c>
      <c r="T21" s="82" t="str">
        <f t="shared" si="3"/>
        <v/>
      </c>
      <c r="U21" s="83">
        <f t="shared" si="4"/>
        <v>0</v>
      </c>
      <c r="V21" s="83">
        <f t="shared" si="5"/>
        <v>0</v>
      </c>
      <c r="W21" s="83">
        <f t="shared" si="6"/>
        <v>0</v>
      </c>
      <c r="X21" s="78" t="s">
        <v>821</v>
      </c>
      <c r="Y21" s="78"/>
    </row>
    <row r="22" ht="15.75" customHeight="1">
      <c r="A22" s="78"/>
      <c r="B22" s="79"/>
      <c r="C22" s="78"/>
      <c r="D22" s="78"/>
      <c r="E22" s="78"/>
      <c r="F22" s="78"/>
      <c r="G22" s="81"/>
      <c r="H22" s="84"/>
      <c r="I22" s="82" t="str">
        <f t="shared" si="1"/>
        <v/>
      </c>
      <c r="J22" s="84"/>
      <c r="K22" s="78"/>
      <c r="L22" s="78"/>
      <c r="M22" s="78"/>
      <c r="N22" s="78"/>
      <c r="O22" s="78"/>
      <c r="P22" s="78"/>
      <c r="Q22" s="78"/>
      <c r="R22" s="82" t="str">
        <f t="shared" si="2"/>
        <v/>
      </c>
      <c r="S22" s="84">
        <v>500000.0</v>
      </c>
      <c r="T22" s="82" t="str">
        <f t="shared" si="3"/>
        <v/>
      </c>
      <c r="U22" s="83">
        <f t="shared" si="4"/>
        <v>0</v>
      </c>
      <c r="V22" s="83">
        <f t="shared" si="5"/>
        <v>0</v>
      </c>
      <c r="W22" s="83">
        <f t="shared" si="6"/>
        <v>0</v>
      </c>
      <c r="X22" s="78" t="s">
        <v>821</v>
      </c>
      <c r="Y22" s="78"/>
    </row>
    <row r="23" ht="15.75" customHeight="1">
      <c r="A23" s="78"/>
      <c r="B23" s="79"/>
      <c r="C23" s="78"/>
      <c r="D23" s="78"/>
      <c r="E23" s="78"/>
      <c r="F23" s="78"/>
      <c r="G23" s="81"/>
      <c r="H23" s="84"/>
      <c r="I23" s="82" t="str">
        <f t="shared" si="1"/>
        <v/>
      </c>
      <c r="J23" s="84"/>
      <c r="K23" s="78"/>
      <c r="L23" s="78"/>
      <c r="M23" s="78"/>
      <c r="N23" s="78"/>
      <c r="O23" s="78"/>
      <c r="P23" s="78"/>
      <c r="Q23" s="78"/>
      <c r="R23" s="82" t="str">
        <f t="shared" si="2"/>
        <v/>
      </c>
      <c r="S23" s="84">
        <v>500000.0</v>
      </c>
      <c r="T23" s="82" t="str">
        <f t="shared" si="3"/>
        <v/>
      </c>
      <c r="U23" s="83">
        <f t="shared" si="4"/>
        <v>0</v>
      </c>
      <c r="V23" s="83">
        <f t="shared" si="5"/>
        <v>0</v>
      </c>
      <c r="W23" s="83">
        <f t="shared" si="6"/>
        <v>0</v>
      </c>
      <c r="X23" s="78" t="s">
        <v>821</v>
      </c>
      <c r="Y23" s="78"/>
    </row>
    <row r="24" ht="15.75" customHeight="1">
      <c r="A24" s="78"/>
      <c r="B24" s="79"/>
      <c r="C24" s="78"/>
      <c r="D24" s="78"/>
      <c r="E24" s="78"/>
      <c r="F24" s="78"/>
      <c r="G24" s="81"/>
      <c r="H24" s="84"/>
      <c r="I24" s="82" t="str">
        <f t="shared" si="1"/>
        <v/>
      </c>
      <c r="J24" s="84"/>
      <c r="K24" s="78"/>
      <c r="L24" s="78"/>
      <c r="M24" s="78"/>
      <c r="N24" s="78"/>
      <c r="O24" s="78"/>
      <c r="P24" s="78"/>
      <c r="Q24" s="78"/>
      <c r="R24" s="82" t="str">
        <f t="shared" si="2"/>
        <v/>
      </c>
      <c r="S24" s="84">
        <v>500000.0</v>
      </c>
      <c r="T24" s="82" t="str">
        <f t="shared" si="3"/>
        <v/>
      </c>
      <c r="U24" s="83">
        <f t="shared" si="4"/>
        <v>0</v>
      </c>
      <c r="V24" s="83">
        <f t="shared" si="5"/>
        <v>0</v>
      </c>
      <c r="W24" s="83">
        <f t="shared" si="6"/>
        <v>0</v>
      </c>
      <c r="X24" s="78" t="s">
        <v>821</v>
      </c>
      <c r="Y24" s="78"/>
    </row>
    <row r="25" ht="15.75" customHeight="1">
      <c r="A25" s="78"/>
      <c r="B25" s="79"/>
      <c r="C25" s="78"/>
      <c r="D25" s="78"/>
      <c r="E25" s="78"/>
      <c r="F25" s="78"/>
      <c r="G25" s="81"/>
      <c r="H25" s="84"/>
      <c r="I25" s="82" t="str">
        <f t="shared" si="1"/>
        <v/>
      </c>
      <c r="J25" s="84"/>
      <c r="K25" s="78"/>
      <c r="L25" s="78"/>
      <c r="M25" s="78"/>
      <c r="N25" s="78"/>
      <c r="O25" s="78"/>
      <c r="P25" s="78"/>
      <c r="Q25" s="78"/>
      <c r="R25" s="82" t="str">
        <f t="shared" si="2"/>
        <v/>
      </c>
      <c r="S25" s="84">
        <v>500000.0</v>
      </c>
      <c r="T25" s="82" t="str">
        <f t="shared" si="3"/>
        <v/>
      </c>
      <c r="U25" s="83">
        <f t="shared" si="4"/>
        <v>0</v>
      </c>
      <c r="V25" s="83">
        <f t="shared" si="5"/>
        <v>0</v>
      </c>
      <c r="W25" s="83">
        <f t="shared" si="6"/>
        <v>0</v>
      </c>
      <c r="X25" s="78" t="s">
        <v>821</v>
      </c>
      <c r="Y25" s="78"/>
    </row>
    <row r="26" ht="15.75" customHeight="1">
      <c r="A26" s="78"/>
      <c r="B26" s="79"/>
      <c r="C26" s="78"/>
      <c r="D26" s="78"/>
      <c r="E26" s="78"/>
      <c r="F26" s="78"/>
      <c r="G26" s="81"/>
      <c r="H26" s="84"/>
      <c r="I26" s="82" t="str">
        <f t="shared" si="1"/>
        <v/>
      </c>
      <c r="J26" s="84"/>
      <c r="K26" s="78"/>
      <c r="L26" s="78"/>
      <c r="M26" s="78"/>
      <c r="N26" s="78"/>
      <c r="O26" s="78"/>
      <c r="P26" s="78"/>
      <c r="Q26" s="78"/>
      <c r="R26" s="82" t="str">
        <f t="shared" si="2"/>
        <v/>
      </c>
      <c r="S26" s="84">
        <v>500000.0</v>
      </c>
      <c r="T26" s="82" t="str">
        <f t="shared" si="3"/>
        <v/>
      </c>
      <c r="U26" s="83">
        <f t="shared" si="4"/>
        <v>0</v>
      </c>
      <c r="V26" s="83">
        <f t="shared" si="5"/>
        <v>0</v>
      </c>
      <c r="W26" s="83">
        <f t="shared" si="6"/>
        <v>0</v>
      </c>
      <c r="X26" s="78" t="s">
        <v>821</v>
      </c>
      <c r="Y26" s="78"/>
    </row>
    <row r="27" ht="15.75" customHeight="1">
      <c r="A27" s="78"/>
      <c r="B27" s="79"/>
      <c r="C27" s="78"/>
      <c r="D27" s="78"/>
      <c r="E27" s="78"/>
      <c r="F27" s="78"/>
      <c r="G27" s="81"/>
      <c r="H27" s="84"/>
      <c r="I27" s="82" t="str">
        <f t="shared" si="1"/>
        <v/>
      </c>
      <c r="J27" s="84"/>
      <c r="K27" s="78"/>
      <c r="L27" s="78"/>
      <c r="M27" s="78"/>
      <c r="N27" s="78"/>
      <c r="O27" s="78"/>
      <c r="P27" s="78"/>
      <c r="Q27" s="78"/>
      <c r="R27" s="82" t="str">
        <f t="shared" si="2"/>
        <v/>
      </c>
      <c r="S27" s="84">
        <v>500000.0</v>
      </c>
      <c r="T27" s="82" t="str">
        <f t="shared" si="3"/>
        <v/>
      </c>
      <c r="U27" s="83">
        <f t="shared" si="4"/>
        <v>0</v>
      </c>
      <c r="V27" s="83">
        <f t="shared" si="5"/>
        <v>0</v>
      </c>
      <c r="W27" s="83">
        <f t="shared" si="6"/>
        <v>0</v>
      </c>
      <c r="X27" s="78" t="s">
        <v>821</v>
      </c>
      <c r="Y27" s="78"/>
    </row>
    <row r="28" ht="15.75" customHeight="1">
      <c r="A28" s="78"/>
      <c r="B28" s="79"/>
      <c r="C28" s="78"/>
      <c r="D28" s="78"/>
      <c r="E28" s="78"/>
      <c r="F28" s="78"/>
      <c r="G28" s="81"/>
      <c r="H28" s="84"/>
      <c r="I28" s="82" t="str">
        <f t="shared" si="1"/>
        <v/>
      </c>
      <c r="J28" s="84"/>
      <c r="K28" s="78"/>
      <c r="L28" s="78"/>
      <c r="M28" s="78"/>
      <c r="N28" s="78"/>
      <c r="O28" s="78"/>
      <c r="P28" s="78"/>
      <c r="Q28" s="78"/>
      <c r="R28" s="82" t="str">
        <f t="shared" si="2"/>
        <v/>
      </c>
      <c r="S28" s="84">
        <v>500000.0</v>
      </c>
      <c r="T28" s="82" t="str">
        <f t="shared" si="3"/>
        <v/>
      </c>
      <c r="U28" s="83">
        <f t="shared" si="4"/>
        <v>0</v>
      </c>
      <c r="V28" s="83">
        <f t="shared" si="5"/>
        <v>0</v>
      </c>
      <c r="W28" s="83">
        <f t="shared" si="6"/>
        <v>0</v>
      </c>
      <c r="X28" s="78" t="s">
        <v>821</v>
      </c>
      <c r="Y28" s="78"/>
    </row>
    <row r="29" ht="15.75" customHeight="1">
      <c r="A29" s="78"/>
      <c r="B29" s="79"/>
      <c r="C29" s="78"/>
      <c r="D29" s="78"/>
      <c r="E29" s="78"/>
      <c r="F29" s="78"/>
      <c r="G29" s="81"/>
      <c r="H29" s="84"/>
      <c r="I29" s="82" t="str">
        <f t="shared" si="1"/>
        <v/>
      </c>
      <c r="J29" s="84"/>
      <c r="K29" s="78"/>
      <c r="L29" s="78"/>
      <c r="M29" s="78"/>
      <c r="N29" s="78"/>
      <c r="O29" s="78"/>
      <c r="P29" s="78"/>
      <c r="Q29" s="78"/>
      <c r="R29" s="82" t="str">
        <f t="shared" si="2"/>
        <v/>
      </c>
      <c r="S29" s="84">
        <v>500000.0</v>
      </c>
      <c r="T29" s="82" t="str">
        <f t="shared" si="3"/>
        <v/>
      </c>
      <c r="U29" s="83">
        <f t="shared" si="4"/>
        <v>0</v>
      </c>
      <c r="V29" s="83">
        <f t="shared" si="5"/>
        <v>0</v>
      </c>
      <c r="W29" s="83">
        <f t="shared" si="6"/>
        <v>0</v>
      </c>
      <c r="X29" s="78" t="s">
        <v>821</v>
      </c>
      <c r="Y29" s="78"/>
    </row>
    <row r="30" ht="15.75" customHeight="1">
      <c r="A30" s="78"/>
      <c r="B30" s="79"/>
      <c r="C30" s="78"/>
      <c r="D30" s="78"/>
      <c r="E30" s="78"/>
      <c r="F30" s="78"/>
      <c r="G30" s="81"/>
      <c r="H30" s="84"/>
      <c r="I30" s="82" t="str">
        <f t="shared" si="1"/>
        <v/>
      </c>
      <c r="J30" s="84"/>
      <c r="K30" s="78"/>
      <c r="L30" s="78"/>
      <c r="M30" s="78"/>
      <c r="N30" s="78"/>
      <c r="O30" s="78"/>
      <c r="P30" s="78"/>
      <c r="Q30" s="78"/>
      <c r="R30" s="82" t="str">
        <f t="shared" si="2"/>
        <v/>
      </c>
      <c r="S30" s="84">
        <v>500000.0</v>
      </c>
      <c r="T30" s="82" t="str">
        <f t="shared" si="3"/>
        <v/>
      </c>
      <c r="U30" s="83">
        <f t="shared" si="4"/>
        <v>0</v>
      </c>
      <c r="V30" s="83">
        <f t="shared" si="5"/>
        <v>0</v>
      </c>
      <c r="W30" s="83">
        <f t="shared" si="6"/>
        <v>0</v>
      </c>
      <c r="X30" s="78" t="s">
        <v>821</v>
      </c>
      <c r="Y30" s="78"/>
    </row>
    <row r="31" ht="15.75" customHeight="1">
      <c r="A31" s="78"/>
      <c r="B31" s="79"/>
      <c r="C31" s="78"/>
      <c r="D31" s="78"/>
      <c r="E31" s="78"/>
      <c r="F31" s="78"/>
      <c r="G31" s="81"/>
      <c r="H31" s="84"/>
      <c r="I31" s="82" t="str">
        <f t="shared" si="1"/>
        <v/>
      </c>
      <c r="J31" s="84"/>
      <c r="K31" s="78"/>
      <c r="L31" s="78"/>
      <c r="M31" s="78"/>
      <c r="N31" s="78"/>
      <c r="O31" s="78"/>
      <c r="P31" s="78"/>
      <c r="Q31" s="78"/>
      <c r="R31" s="82" t="str">
        <f t="shared" si="2"/>
        <v/>
      </c>
      <c r="S31" s="84">
        <v>500000.0</v>
      </c>
      <c r="T31" s="82" t="str">
        <f t="shared" si="3"/>
        <v/>
      </c>
      <c r="U31" s="83">
        <f t="shared" si="4"/>
        <v>0</v>
      </c>
      <c r="V31" s="83">
        <f t="shared" si="5"/>
        <v>0</v>
      </c>
      <c r="W31" s="83">
        <f t="shared" si="6"/>
        <v>0</v>
      </c>
      <c r="X31" s="78" t="s">
        <v>821</v>
      </c>
      <c r="Y31" s="78"/>
    </row>
    <row r="32" ht="15.75" customHeight="1">
      <c r="A32" s="78"/>
      <c r="B32" s="79"/>
      <c r="C32" s="78"/>
      <c r="D32" s="78"/>
      <c r="E32" s="78"/>
      <c r="F32" s="78"/>
      <c r="G32" s="81"/>
      <c r="H32" s="84"/>
      <c r="I32" s="82" t="str">
        <f t="shared" si="1"/>
        <v/>
      </c>
      <c r="J32" s="84"/>
      <c r="K32" s="78"/>
      <c r="L32" s="78"/>
      <c r="M32" s="78"/>
      <c r="N32" s="78"/>
      <c r="O32" s="78"/>
      <c r="P32" s="78"/>
      <c r="Q32" s="78"/>
      <c r="R32" s="82" t="str">
        <f t="shared" si="2"/>
        <v/>
      </c>
      <c r="S32" s="84">
        <v>500000.0</v>
      </c>
      <c r="T32" s="82" t="str">
        <f t="shared" si="3"/>
        <v/>
      </c>
      <c r="U32" s="83">
        <f t="shared" si="4"/>
        <v>0</v>
      </c>
      <c r="V32" s="83">
        <f t="shared" si="5"/>
        <v>0</v>
      </c>
      <c r="W32" s="83">
        <f t="shared" si="6"/>
        <v>0</v>
      </c>
      <c r="X32" s="78" t="s">
        <v>821</v>
      </c>
      <c r="Y32" s="78"/>
    </row>
    <row r="33" ht="15.75" customHeight="1">
      <c r="A33" s="78"/>
      <c r="B33" s="79"/>
      <c r="C33" s="78"/>
      <c r="D33" s="78"/>
      <c r="E33" s="78"/>
      <c r="F33" s="78"/>
      <c r="G33" s="81"/>
      <c r="H33" s="84"/>
      <c r="I33" s="82" t="str">
        <f t="shared" si="1"/>
        <v/>
      </c>
      <c r="J33" s="84"/>
      <c r="K33" s="78"/>
      <c r="L33" s="78"/>
      <c r="M33" s="78"/>
      <c r="N33" s="78"/>
      <c r="O33" s="78"/>
      <c r="P33" s="78"/>
      <c r="Q33" s="78"/>
      <c r="R33" s="82" t="str">
        <f t="shared" si="2"/>
        <v/>
      </c>
      <c r="S33" s="84">
        <v>500000.0</v>
      </c>
      <c r="T33" s="82" t="str">
        <f t="shared" si="3"/>
        <v/>
      </c>
      <c r="U33" s="83">
        <f t="shared" si="4"/>
        <v>0</v>
      </c>
      <c r="V33" s="83">
        <f t="shared" si="5"/>
        <v>0</v>
      </c>
      <c r="W33" s="83">
        <f t="shared" si="6"/>
        <v>0</v>
      </c>
      <c r="X33" s="78" t="s">
        <v>821</v>
      </c>
      <c r="Y33" s="78"/>
    </row>
    <row r="34" ht="15.75" customHeight="1">
      <c r="A34" s="78"/>
      <c r="B34" s="79"/>
      <c r="C34" s="78"/>
      <c r="D34" s="78"/>
      <c r="E34" s="78"/>
      <c r="F34" s="78"/>
      <c r="G34" s="81"/>
      <c r="H34" s="84"/>
      <c r="I34" s="82" t="str">
        <f t="shared" si="1"/>
        <v/>
      </c>
      <c r="J34" s="84"/>
      <c r="K34" s="78"/>
      <c r="L34" s="78"/>
      <c r="M34" s="78"/>
      <c r="N34" s="78"/>
      <c r="O34" s="78"/>
      <c r="P34" s="78"/>
      <c r="Q34" s="78"/>
      <c r="R34" s="82" t="str">
        <f t="shared" si="2"/>
        <v/>
      </c>
      <c r="S34" s="84">
        <v>500000.0</v>
      </c>
      <c r="T34" s="82" t="str">
        <f t="shared" si="3"/>
        <v/>
      </c>
      <c r="U34" s="83">
        <f t="shared" si="4"/>
        <v>0</v>
      </c>
      <c r="V34" s="83">
        <f t="shared" si="5"/>
        <v>0</v>
      </c>
      <c r="W34" s="83">
        <f t="shared" si="6"/>
        <v>0</v>
      </c>
      <c r="X34" s="78" t="s">
        <v>821</v>
      </c>
      <c r="Y34" s="78"/>
    </row>
    <row r="35" ht="15.75" customHeight="1">
      <c r="A35" s="78"/>
      <c r="B35" s="79"/>
      <c r="C35" s="78"/>
      <c r="D35" s="78"/>
      <c r="E35" s="78"/>
      <c r="F35" s="78"/>
      <c r="G35" s="81"/>
      <c r="H35" s="84"/>
      <c r="I35" s="82" t="str">
        <f t="shared" si="1"/>
        <v/>
      </c>
      <c r="J35" s="84"/>
      <c r="K35" s="78"/>
      <c r="L35" s="78"/>
      <c r="M35" s="78"/>
      <c r="N35" s="78"/>
      <c r="O35" s="78"/>
      <c r="P35" s="78"/>
      <c r="Q35" s="78"/>
      <c r="R35" s="82" t="str">
        <f t="shared" si="2"/>
        <v/>
      </c>
      <c r="S35" s="84">
        <v>500000.0</v>
      </c>
      <c r="T35" s="82" t="str">
        <f t="shared" si="3"/>
        <v/>
      </c>
      <c r="U35" s="83">
        <f t="shared" si="4"/>
        <v>0</v>
      </c>
      <c r="V35" s="83">
        <f t="shared" si="5"/>
        <v>0</v>
      </c>
      <c r="W35" s="83">
        <f t="shared" si="6"/>
        <v>0</v>
      </c>
      <c r="X35" s="78" t="s">
        <v>821</v>
      </c>
      <c r="Y35" s="78"/>
    </row>
    <row r="36" ht="15.75" customHeight="1">
      <c r="A36" s="78"/>
      <c r="B36" s="79"/>
      <c r="C36" s="78"/>
      <c r="D36" s="78"/>
      <c r="E36" s="78"/>
      <c r="F36" s="78"/>
      <c r="G36" s="81"/>
      <c r="H36" s="84"/>
      <c r="I36" s="82" t="str">
        <f t="shared" si="1"/>
        <v/>
      </c>
      <c r="J36" s="84"/>
      <c r="K36" s="78"/>
      <c r="L36" s="78"/>
      <c r="M36" s="78"/>
      <c r="N36" s="78"/>
      <c r="O36" s="78"/>
      <c r="P36" s="78"/>
      <c r="Q36" s="78"/>
      <c r="R36" s="82" t="str">
        <f t="shared" si="2"/>
        <v/>
      </c>
      <c r="S36" s="84">
        <v>500000.0</v>
      </c>
      <c r="T36" s="82" t="str">
        <f t="shared" si="3"/>
        <v/>
      </c>
      <c r="U36" s="83">
        <f t="shared" si="4"/>
        <v>0</v>
      </c>
      <c r="V36" s="83">
        <f t="shared" si="5"/>
        <v>0</v>
      </c>
      <c r="W36" s="83">
        <f t="shared" si="6"/>
        <v>0</v>
      </c>
      <c r="X36" s="78" t="s">
        <v>821</v>
      </c>
      <c r="Y36" s="78"/>
    </row>
    <row r="37" ht="15.75" customHeight="1">
      <c r="A37" s="78"/>
      <c r="B37" s="79"/>
      <c r="C37" s="78"/>
      <c r="D37" s="78"/>
      <c r="E37" s="78"/>
      <c r="F37" s="78"/>
      <c r="G37" s="81"/>
      <c r="H37" s="84"/>
      <c r="I37" s="82" t="str">
        <f t="shared" si="1"/>
        <v/>
      </c>
      <c r="J37" s="84"/>
      <c r="K37" s="78"/>
      <c r="L37" s="78"/>
      <c r="M37" s="78"/>
      <c r="N37" s="78"/>
      <c r="O37" s="78"/>
      <c r="P37" s="78"/>
      <c r="Q37" s="78"/>
      <c r="R37" s="82" t="str">
        <f t="shared" si="2"/>
        <v/>
      </c>
      <c r="S37" s="84">
        <v>500000.0</v>
      </c>
      <c r="T37" s="82" t="str">
        <f t="shared" si="3"/>
        <v/>
      </c>
      <c r="U37" s="83">
        <f t="shared" si="4"/>
        <v>0</v>
      </c>
      <c r="V37" s="83">
        <f t="shared" si="5"/>
        <v>0</v>
      </c>
      <c r="W37" s="83">
        <f t="shared" si="6"/>
        <v>0</v>
      </c>
      <c r="X37" s="78" t="s">
        <v>821</v>
      </c>
      <c r="Y37" s="78"/>
    </row>
    <row r="38" ht="15.75" customHeight="1">
      <c r="A38" s="78"/>
      <c r="B38" s="79"/>
      <c r="C38" s="78"/>
      <c r="D38" s="78"/>
      <c r="E38" s="78"/>
      <c r="F38" s="78"/>
      <c r="G38" s="81"/>
      <c r="H38" s="84"/>
      <c r="I38" s="82" t="str">
        <f t="shared" si="1"/>
        <v/>
      </c>
      <c r="J38" s="84"/>
      <c r="K38" s="78"/>
      <c r="L38" s="78"/>
      <c r="M38" s="78"/>
      <c r="N38" s="78"/>
      <c r="O38" s="78"/>
      <c r="P38" s="78"/>
      <c r="Q38" s="78"/>
      <c r="R38" s="82" t="str">
        <f t="shared" si="2"/>
        <v/>
      </c>
      <c r="S38" s="84">
        <v>500000.0</v>
      </c>
      <c r="T38" s="82" t="str">
        <f t="shared" si="3"/>
        <v/>
      </c>
      <c r="U38" s="83">
        <f t="shared" si="4"/>
        <v>0</v>
      </c>
      <c r="V38" s="83">
        <f t="shared" si="5"/>
        <v>0</v>
      </c>
      <c r="W38" s="83">
        <f t="shared" si="6"/>
        <v>0</v>
      </c>
      <c r="X38" s="78" t="s">
        <v>821</v>
      </c>
      <c r="Y38" s="78"/>
    </row>
    <row r="39" ht="15.75" customHeight="1">
      <c r="A39" s="78"/>
      <c r="B39" s="79"/>
      <c r="C39" s="78"/>
      <c r="D39" s="78"/>
      <c r="E39" s="78"/>
      <c r="F39" s="78"/>
      <c r="G39" s="81"/>
      <c r="H39" s="84"/>
      <c r="I39" s="82" t="str">
        <f t="shared" si="1"/>
        <v/>
      </c>
      <c r="J39" s="84"/>
      <c r="K39" s="78"/>
      <c r="L39" s="78"/>
      <c r="M39" s="78"/>
      <c r="N39" s="78"/>
      <c r="O39" s="78"/>
      <c r="P39" s="78"/>
      <c r="Q39" s="78"/>
      <c r="R39" s="82" t="str">
        <f t="shared" si="2"/>
        <v/>
      </c>
      <c r="S39" s="84">
        <v>500000.0</v>
      </c>
      <c r="T39" s="82" t="str">
        <f t="shared" si="3"/>
        <v/>
      </c>
      <c r="U39" s="83">
        <f t="shared" si="4"/>
        <v>0</v>
      </c>
      <c r="V39" s="83">
        <f t="shared" si="5"/>
        <v>0</v>
      </c>
      <c r="W39" s="83">
        <f t="shared" si="6"/>
        <v>0</v>
      </c>
      <c r="X39" s="78" t="s">
        <v>821</v>
      </c>
      <c r="Y39" s="78"/>
    </row>
    <row r="40" ht="15.75" customHeight="1">
      <c r="A40" s="78"/>
      <c r="B40" s="79"/>
      <c r="C40" s="78"/>
      <c r="D40" s="78"/>
      <c r="E40" s="78"/>
      <c r="F40" s="78"/>
      <c r="G40" s="81"/>
      <c r="H40" s="84"/>
      <c r="I40" s="82" t="str">
        <f t="shared" si="1"/>
        <v/>
      </c>
      <c r="J40" s="84"/>
      <c r="K40" s="78"/>
      <c r="L40" s="78"/>
      <c r="M40" s="78"/>
      <c r="N40" s="78"/>
      <c r="O40" s="78"/>
      <c r="P40" s="78"/>
      <c r="Q40" s="78"/>
      <c r="R40" s="82" t="str">
        <f t="shared" si="2"/>
        <v/>
      </c>
      <c r="S40" s="84">
        <v>500000.0</v>
      </c>
      <c r="T40" s="82" t="str">
        <f t="shared" si="3"/>
        <v/>
      </c>
      <c r="U40" s="83">
        <f t="shared" si="4"/>
        <v>0</v>
      </c>
      <c r="V40" s="83">
        <f t="shared" si="5"/>
        <v>0</v>
      </c>
      <c r="W40" s="83">
        <f t="shared" si="6"/>
        <v>0</v>
      </c>
      <c r="X40" s="78" t="s">
        <v>821</v>
      </c>
      <c r="Y40" s="78"/>
    </row>
    <row r="41" ht="15.75" customHeight="1">
      <c r="A41" s="78"/>
      <c r="B41" s="79"/>
      <c r="C41" s="78"/>
      <c r="D41" s="78"/>
      <c r="E41" s="78"/>
      <c r="F41" s="78"/>
      <c r="G41" s="81"/>
      <c r="H41" s="84"/>
      <c r="I41" s="82" t="str">
        <f t="shared" si="1"/>
        <v/>
      </c>
      <c r="J41" s="84"/>
      <c r="K41" s="78"/>
      <c r="L41" s="78"/>
      <c r="M41" s="78"/>
      <c r="N41" s="78"/>
      <c r="O41" s="78"/>
      <c r="P41" s="78"/>
      <c r="Q41" s="78"/>
      <c r="R41" s="82" t="str">
        <f t="shared" si="2"/>
        <v/>
      </c>
      <c r="S41" s="84">
        <v>500000.0</v>
      </c>
      <c r="T41" s="82" t="str">
        <f t="shared" si="3"/>
        <v/>
      </c>
      <c r="U41" s="83">
        <f t="shared" si="4"/>
        <v>0</v>
      </c>
      <c r="V41" s="83">
        <f t="shared" si="5"/>
        <v>0</v>
      </c>
      <c r="W41" s="83">
        <f t="shared" si="6"/>
        <v>0</v>
      </c>
      <c r="X41" s="78" t="s">
        <v>821</v>
      </c>
      <c r="Y41" s="78"/>
    </row>
    <row r="42" ht="15.75" customHeight="1">
      <c r="A42" s="78"/>
      <c r="B42" s="79"/>
      <c r="C42" s="78"/>
      <c r="D42" s="78"/>
      <c r="E42" s="78"/>
      <c r="F42" s="78"/>
      <c r="G42" s="81"/>
      <c r="H42" s="84"/>
      <c r="I42" s="82" t="str">
        <f t="shared" si="1"/>
        <v/>
      </c>
      <c r="J42" s="84"/>
      <c r="K42" s="78"/>
      <c r="L42" s="78"/>
      <c r="M42" s="78"/>
      <c r="N42" s="78"/>
      <c r="O42" s="78"/>
      <c r="P42" s="78"/>
      <c r="Q42" s="78"/>
      <c r="R42" s="82" t="str">
        <f t="shared" si="2"/>
        <v/>
      </c>
      <c r="S42" s="84">
        <v>500000.0</v>
      </c>
      <c r="T42" s="82" t="str">
        <f t="shared" si="3"/>
        <v/>
      </c>
      <c r="U42" s="83">
        <f t="shared" si="4"/>
        <v>0</v>
      </c>
      <c r="V42" s="83">
        <f t="shared" si="5"/>
        <v>0</v>
      </c>
      <c r="W42" s="83">
        <f t="shared" si="6"/>
        <v>0</v>
      </c>
      <c r="X42" s="78" t="s">
        <v>821</v>
      </c>
      <c r="Y42" s="78"/>
    </row>
    <row r="43" ht="15.75" customHeight="1">
      <c r="A43" s="78"/>
      <c r="B43" s="79"/>
      <c r="C43" s="78"/>
      <c r="D43" s="78"/>
      <c r="E43" s="78"/>
      <c r="F43" s="78"/>
      <c r="G43" s="81"/>
      <c r="H43" s="84"/>
      <c r="I43" s="82" t="str">
        <f t="shared" si="1"/>
        <v/>
      </c>
      <c r="J43" s="84"/>
      <c r="K43" s="78"/>
      <c r="L43" s="78"/>
      <c r="M43" s="78"/>
      <c r="N43" s="78"/>
      <c r="O43" s="78"/>
      <c r="P43" s="78"/>
      <c r="Q43" s="78"/>
      <c r="R43" s="82" t="str">
        <f t="shared" si="2"/>
        <v/>
      </c>
      <c r="S43" s="84">
        <v>500000.0</v>
      </c>
      <c r="T43" s="82" t="str">
        <f t="shared" si="3"/>
        <v/>
      </c>
      <c r="U43" s="83">
        <f t="shared" si="4"/>
        <v>0</v>
      </c>
      <c r="V43" s="83">
        <f t="shared" si="5"/>
        <v>0</v>
      </c>
      <c r="W43" s="83">
        <f t="shared" si="6"/>
        <v>0</v>
      </c>
      <c r="X43" s="78" t="s">
        <v>821</v>
      </c>
      <c r="Y43" s="78"/>
    </row>
    <row r="44" ht="15.75" customHeight="1">
      <c r="A44" s="78"/>
      <c r="B44" s="79"/>
      <c r="C44" s="78"/>
      <c r="D44" s="78"/>
      <c r="E44" s="78"/>
      <c r="F44" s="78"/>
      <c r="G44" s="81"/>
      <c r="H44" s="84"/>
      <c r="I44" s="82" t="str">
        <f t="shared" si="1"/>
        <v/>
      </c>
      <c r="J44" s="84"/>
      <c r="K44" s="78"/>
      <c r="L44" s="78"/>
      <c r="M44" s="78"/>
      <c r="N44" s="78"/>
      <c r="O44" s="78"/>
      <c r="P44" s="78"/>
      <c r="Q44" s="78"/>
      <c r="R44" s="82" t="str">
        <f t="shared" si="2"/>
        <v/>
      </c>
      <c r="S44" s="84">
        <v>500000.0</v>
      </c>
      <c r="T44" s="82" t="str">
        <f t="shared" si="3"/>
        <v/>
      </c>
      <c r="U44" s="83">
        <f t="shared" si="4"/>
        <v>0</v>
      </c>
      <c r="V44" s="83">
        <f t="shared" si="5"/>
        <v>0</v>
      </c>
      <c r="W44" s="83">
        <f t="shared" si="6"/>
        <v>0</v>
      </c>
      <c r="X44" s="78" t="s">
        <v>821</v>
      </c>
      <c r="Y44" s="78"/>
    </row>
    <row r="45" ht="15.75" customHeight="1">
      <c r="A45" s="78"/>
      <c r="B45" s="79"/>
      <c r="C45" s="78"/>
      <c r="D45" s="78"/>
      <c r="E45" s="78"/>
      <c r="F45" s="78"/>
      <c r="G45" s="81"/>
      <c r="H45" s="84"/>
      <c r="I45" s="82" t="str">
        <f t="shared" si="1"/>
        <v/>
      </c>
      <c r="J45" s="84"/>
      <c r="K45" s="78"/>
      <c r="L45" s="78"/>
      <c r="M45" s="78"/>
      <c r="N45" s="78"/>
      <c r="O45" s="78"/>
      <c r="P45" s="78"/>
      <c r="Q45" s="78"/>
      <c r="R45" s="82" t="str">
        <f t="shared" si="2"/>
        <v/>
      </c>
      <c r="S45" s="84">
        <v>500000.0</v>
      </c>
      <c r="T45" s="82" t="str">
        <f t="shared" si="3"/>
        <v/>
      </c>
      <c r="U45" s="83">
        <f t="shared" si="4"/>
        <v>0</v>
      </c>
      <c r="V45" s="83">
        <f t="shared" si="5"/>
        <v>0</v>
      </c>
      <c r="W45" s="83">
        <f t="shared" si="6"/>
        <v>0</v>
      </c>
      <c r="X45" s="78" t="s">
        <v>821</v>
      </c>
      <c r="Y45" s="78"/>
    </row>
    <row r="46" ht="15.75" customHeight="1">
      <c r="A46" s="78"/>
      <c r="B46" s="79"/>
      <c r="C46" s="78"/>
      <c r="D46" s="78"/>
      <c r="E46" s="78"/>
      <c r="F46" s="78"/>
      <c r="G46" s="81"/>
      <c r="H46" s="84"/>
      <c r="I46" s="82" t="str">
        <f t="shared" si="1"/>
        <v/>
      </c>
      <c r="J46" s="84"/>
      <c r="K46" s="78"/>
      <c r="L46" s="78"/>
      <c r="M46" s="78"/>
      <c r="N46" s="78"/>
      <c r="O46" s="78"/>
      <c r="P46" s="78"/>
      <c r="Q46" s="78"/>
      <c r="R46" s="82" t="str">
        <f t="shared" si="2"/>
        <v/>
      </c>
      <c r="S46" s="84">
        <v>500000.0</v>
      </c>
      <c r="T46" s="82" t="str">
        <f t="shared" si="3"/>
        <v/>
      </c>
      <c r="U46" s="83">
        <f t="shared" si="4"/>
        <v>0</v>
      </c>
      <c r="V46" s="83">
        <f t="shared" si="5"/>
        <v>0</v>
      </c>
      <c r="W46" s="83">
        <f t="shared" si="6"/>
        <v>0</v>
      </c>
      <c r="X46" s="78" t="s">
        <v>821</v>
      </c>
      <c r="Y46" s="78"/>
    </row>
    <row r="47" ht="15.75" customHeight="1">
      <c r="A47" s="78"/>
      <c r="B47" s="79"/>
      <c r="C47" s="78"/>
      <c r="D47" s="78"/>
      <c r="E47" s="78"/>
      <c r="F47" s="78"/>
      <c r="G47" s="81"/>
      <c r="H47" s="84"/>
      <c r="I47" s="82" t="str">
        <f t="shared" si="1"/>
        <v/>
      </c>
      <c r="J47" s="84"/>
      <c r="K47" s="78"/>
      <c r="L47" s="78"/>
      <c r="M47" s="78"/>
      <c r="N47" s="78"/>
      <c r="O47" s="78"/>
      <c r="P47" s="78"/>
      <c r="Q47" s="78"/>
      <c r="R47" s="82" t="str">
        <f t="shared" si="2"/>
        <v/>
      </c>
      <c r="S47" s="84">
        <v>500000.0</v>
      </c>
      <c r="T47" s="82" t="str">
        <f t="shared" si="3"/>
        <v/>
      </c>
      <c r="U47" s="83">
        <f t="shared" si="4"/>
        <v>0</v>
      </c>
      <c r="V47" s="83">
        <f t="shared" si="5"/>
        <v>0</v>
      </c>
      <c r="W47" s="83">
        <f t="shared" si="6"/>
        <v>0</v>
      </c>
      <c r="X47" s="78" t="s">
        <v>821</v>
      </c>
      <c r="Y47" s="78"/>
    </row>
    <row r="48" ht="15.75" customHeight="1">
      <c r="A48" s="78"/>
      <c r="B48" s="79"/>
      <c r="C48" s="78"/>
      <c r="D48" s="78"/>
      <c r="E48" s="78"/>
      <c r="F48" s="78"/>
      <c r="G48" s="81"/>
      <c r="H48" s="84"/>
      <c r="I48" s="82" t="str">
        <f t="shared" si="1"/>
        <v/>
      </c>
      <c r="J48" s="84"/>
      <c r="K48" s="78"/>
      <c r="L48" s="78"/>
      <c r="M48" s="78"/>
      <c r="N48" s="78"/>
      <c r="O48" s="78"/>
      <c r="P48" s="78"/>
      <c r="Q48" s="78"/>
      <c r="R48" s="82" t="str">
        <f t="shared" si="2"/>
        <v/>
      </c>
      <c r="S48" s="84">
        <v>500000.0</v>
      </c>
      <c r="T48" s="82" t="str">
        <f t="shared" si="3"/>
        <v/>
      </c>
      <c r="U48" s="83">
        <f t="shared" si="4"/>
        <v>0</v>
      </c>
      <c r="V48" s="83">
        <f t="shared" si="5"/>
        <v>0</v>
      </c>
      <c r="W48" s="83">
        <f t="shared" si="6"/>
        <v>0</v>
      </c>
      <c r="X48" s="78" t="s">
        <v>821</v>
      </c>
      <c r="Y48" s="78"/>
    </row>
    <row r="49" ht="15.75" customHeight="1">
      <c r="A49" s="78"/>
      <c r="B49" s="79"/>
      <c r="C49" s="78"/>
      <c r="D49" s="78"/>
      <c r="E49" s="78"/>
      <c r="F49" s="78"/>
      <c r="G49" s="81"/>
      <c r="H49" s="84"/>
      <c r="I49" s="82" t="str">
        <f t="shared" si="1"/>
        <v/>
      </c>
      <c r="J49" s="84"/>
      <c r="K49" s="78"/>
      <c r="L49" s="78"/>
      <c r="M49" s="78"/>
      <c r="N49" s="78"/>
      <c r="O49" s="78"/>
      <c r="P49" s="78"/>
      <c r="Q49" s="78"/>
      <c r="R49" s="82" t="str">
        <f t="shared" si="2"/>
        <v/>
      </c>
      <c r="S49" s="84">
        <v>500000.0</v>
      </c>
      <c r="T49" s="82" t="str">
        <f t="shared" si="3"/>
        <v/>
      </c>
      <c r="U49" s="83">
        <f t="shared" si="4"/>
        <v>0</v>
      </c>
      <c r="V49" s="83">
        <f t="shared" si="5"/>
        <v>0</v>
      </c>
      <c r="W49" s="83">
        <f t="shared" si="6"/>
        <v>0</v>
      </c>
      <c r="X49" s="78" t="s">
        <v>821</v>
      </c>
      <c r="Y49" s="78"/>
    </row>
    <row r="50" ht="15.75" customHeight="1">
      <c r="A50" s="78"/>
      <c r="B50" s="79"/>
      <c r="C50" s="78"/>
      <c r="D50" s="78"/>
      <c r="E50" s="78"/>
      <c r="F50" s="78"/>
      <c r="G50" s="81"/>
      <c r="H50" s="84"/>
      <c r="I50" s="82" t="str">
        <f t="shared" si="1"/>
        <v/>
      </c>
      <c r="J50" s="84"/>
      <c r="K50" s="78"/>
      <c r="L50" s="78"/>
      <c r="M50" s="78"/>
      <c r="N50" s="78"/>
      <c r="O50" s="78"/>
      <c r="P50" s="78"/>
      <c r="Q50" s="78"/>
      <c r="R50" s="82" t="str">
        <f t="shared" si="2"/>
        <v/>
      </c>
      <c r="S50" s="84">
        <v>500000.0</v>
      </c>
      <c r="T50" s="82" t="str">
        <f t="shared" si="3"/>
        <v/>
      </c>
      <c r="U50" s="83">
        <f t="shared" si="4"/>
        <v>0</v>
      </c>
      <c r="V50" s="83">
        <f t="shared" si="5"/>
        <v>0</v>
      </c>
      <c r="W50" s="83">
        <f t="shared" si="6"/>
        <v>0</v>
      </c>
      <c r="X50" s="78" t="s">
        <v>821</v>
      </c>
      <c r="Y50" s="78"/>
    </row>
    <row r="51" ht="15.75" customHeight="1">
      <c r="A51" s="78"/>
      <c r="B51" s="79"/>
      <c r="C51" s="78"/>
      <c r="D51" s="78"/>
      <c r="E51" s="78"/>
      <c r="F51" s="78"/>
      <c r="G51" s="81"/>
      <c r="H51" s="84"/>
      <c r="I51" s="82" t="str">
        <f t="shared" si="1"/>
        <v/>
      </c>
      <c r="J51" s="84"/>
      <c r="K51" s="78"/>
      <c r="L51" s="78"/>
      <c r="M51" s="78"/>
      <c r="N51" s="78"/>
      <c r="O51" s="78"/>
      <c r="P51" s="78"/>
      <c r="Q51" s="78"/>
      <c r="R51" s="82" t="str">
        <f t="shared" si="2"/>
        <v/>
      </c>
      <c r="S51" s="84">
        <v>500000.0</v>
      </c>
      <c r="T51" s="82" t="str">
        <f t="shared" si="3"/>
        <v/>
      </c>
      <c r="U51" s="83">
        <f t="shared" si="4"/>
        <v>0</v>
      </c>
      <c r="V51" s="83">
        <f t="shared" si="5"/>
        <v>0</v>
      </c>
      <c r="W51" s="83">
        <f t="shared" si="6"/>
        <v>0</v>
      </c>
      <c r="X51" s="78" t="s">
        <v>821</v>
      </c>
      <c r="Y51" s="78"/>
    </row>
    <row r="52" ht="15.75" customHeight="1">
      <c r="A52" s="78"/>
      <c r="B52" s="79"/>
      <c r="C52" s="78"/>
      <c r="D52" s="78"/>
      <c r="E52" s="78"/>
      <c r="F52" s="78"/>
      <c r="G52" s="81"/>
      <c r="H52" s="84"/>
      <c r="I52" s="82" t="str">
        <f t="shared" si="1"/>
        <v/>
      </c>
      <c r="J52" s="84"/>
      <c r="K52" s="78"/>
      <c r="L52" s="78"/>
      <c r="M52" s="78"/>
      <c r="N52" s="78"/>
      <c r="O52" s="78"/>
      <c r="P52" s="78"/>
      <c r="Q52" s="78"/>
      <c r="R52" s="82" t="str">
        <f t="shared" si="2"/>
        <v/>
      </c>
      <c r="S52" s="84">
        <v>500000.0</v>
      </c>
      <c r="T52" s="82" t="str">
        <f t="shared" si="3"/>
        <v/>
      </c>
      <c r="U52" s="83">
        <f t="shared" si="4"/>
        <v>0</v>
      </c>
      <c r="V52" s="83">
        <f t="shared" si="5"/>
        <v>0</v>
      </c>
      <c r="W52" s="83">
        <f t="shared" si="6"/>
        <v>0</v>
      </c>
      <c r="X52" s="78" t="s">
        <v>821</v>
      </c>
      <c r="Y52" s="78"/>
    </row>
    <row r="53" ht="15.75" customHeight="1">
      <c r="A53" s="78"/>
      <c r="B53" s="79"/>
      <c r="C53" s="78"/>
      <c r="D53" s="78"/>
      <c r="E53" s="78"/>
      <c r="F53" s="78"/>
      <c r="G53" s="81"/>
      <c r="H53" s="84"/>
      <c r="I53" s="82" t="str">
        <f t="shared" si="1"/>
        <v/>
      </c>
      <c r="J53" s="84"/>
      <c r="K53" s="78"/>
      <c r="L53" s="78"/>
      <c r="M53" s="78"/>
      <c r="N53" s="78"/>
      <c r="O53" s="78"/>
      <c r="P53" s="78"/>
      <c r="Q53" s="78"/>
      <c r="R53" s="82" t="str">
        <f t="shared" si="2"/>
        <v/>
      </c>
      <c r="S53" s="84">
        <v>500000.0</v>
      </c>
      <c r="T53" s="82" t="str">
        <f t="shared" si="3"/>
        <v/>
      </c>
      <c r="U53" s="83">
        <f t="shared" si="4"/>
        <v>0</v>
      </c>
      <c r="V53" s="83">
        <f t="shared" si="5"/>
        <v>0</v>
      </c>
      <c r="W53" s="83">
        <f t="shared" si="6"/>
        <v>0</v>
      </c>
      <c r="X53" s="78" t="s">
        <v>821</v>
      </c>
      <c r="Y53" s="78"/>
    </row>
    <row r="54" ht="15.75" customHeight="1">
      <c r="A54" s="78"/>
      <c r="B54" s="79"/>
      <c r="C54" s="78"/>
      <c r="D54" s="78"/>
      <c r="E54" s="78"/>
      <c r="F54" s="78"/>
      <c r="G54" s="81"/>
      <c r="H54" s="84"/>
      <c r="I54" s="82" t="str">
        <f t="shared" si="1"/>
        <v/>
      </c>
      <c r="J54" s="84"/>
      <c r="K54" s="78"/>
      <c r="L54" s="78"/>
      <c r="M54" s="78"/>
      <c r="N54" s="78"/>
      <c r="O54" s="78"/>
      <c r="P54" s="78"/>
      <c r="Q54" s="78"/>
      <c r="R54" s="82" t="str">
        <f t="shared" si="2"/>
        <v/>
      </c>
      <c r="S54" s="84">
        <v>500000.0</v>
      </c>
      <c r="T54" s="82" t="str">
        <f t="shared" si="3"/>
        <v/>
      </c>
      <c r="U54" s="83">
        <f t="shared" si="4"/>
        <v>0</v>
      </c>
      <c r="V54" s="83">
        <f t="shared" si="5"/>
        <v>0</v>
      </c>
      <c r="W54" s="83">
        <f t="shared" si="6"/>
        <v>0</v>
      </c>
      <c r="X54" s="78" t="s">
        <v>821</v>
      </c>
      <c r="Y54" s="78"/>
    </row>
    <row r="55" ht="15.75" customHeight="1">
      <c r="A55" s="78"/>
      <c r="B55" s="79"/>
      <c r="C55" s="78"/>
      <c r="D55" s="78"/>
      <c r="E55" s="78"/>
      <c r="F55" s="78"/>
      <c r="G55" s="81"/>
      <c r="H55" s="84"/>
      <c r="I55" s="82" t="str">
        <f t="shared" si="1"/>
        <v/>
      </c>
      <c r="J55" s="84"/>
      <c r="K55" s="78"/>
      <c r="L55" s="78"/>
      <c r="M55" s="78"/>
      <c r="N55" s="78"/>
      <c r="O55" s="78"/>
      <c r="P55" s="78"/>
      <c r="Q55" s="78"/>
      <c r="R55" s="82" t="str">
        <f t="shared" si="2"/>
        <v/>
      </c>
      <c r="S55" s="84">
        <v>500000.0</v>
      </c>
      <c r="T55" s="82" t="str">
        <f t="shared" si="3"/>
        <v/>
      </c>
      <c r="U55" s="83">
        <f t="shared" si="4"/>
        <v>0</v>
      </c>
      <c r="V55" s="83">
        <f t="shared" si="5"/>
        <v>0</v>
      </c>
      <c r="W55" s="83">
        <f t="shared" si="6"/>
        <v>0</v>
      </c>
      <c r="X55" s="78" t="s">
        <v>821</v>
      </c>
      <c r="Y55" s="78"/>
    </row>
    <row r="56" ht="15.75" customHeight="1">
      <c r="A56" s="78"/>
      <c r="B56" s="79"/>
      <c r="C56" s="78"/>
      <c r="D56" s="78"/>
      <c r="E56" s="78"/>
      <c r="F56" s="78"/>
      <c r="G56" s="81"/>
      <c r="H56" s="84"/>
      <c r="I56" s="82" t="str">
        <f t="shared" si="1"/>
        <v/>
      </c>
      <c r="J56" s="84"/>
      <c r="K56" s="78"/>
      <c r="L56" s="78"/>
      <c r="M56" s="78"/>
      <c r="N56" s="78"/>
      <c r="O56" s="78"/>
      <c r="P56" s="78"/>
      <c r="Q56" s="78"/>
      <c r="R56" s="82" t="str">
        <f t="shared" si="2"/>
        <v/>
      </c>
      <c r="S56" s="84">
        <v>500000.0</v>
      </c>
      <c r="T56" s="82" t="str">
        <f t="shared" si="3"/>
        <v/>
      </c>
      <c r="U56" s="83">
        <f t="shared" si="4"/>
        <v>0</v>
      </c>
      <c r="V56" s="83">
        <f t="shared" si="5"/>
        <v>0</v>
      </c>
      <c r="W56" s="83">
        <f t="shared" si="6"/>
        <v>0</v>
      </c>
      <c r="X56" s="78" t="s">
        <v>821</v>
      </c>
      <c r="Y56" s="78"/>
    </row>
    <row r="57" ht="15.75" customHeight="1">
      <c r="A57" s="78"/>
      <c r="B57" s="79"/>
      <c r="C57" s="78"/>
      <c r="D57" s="78"/>
      <c r="E57" s="78"/>
      <c r="F57" s="78"/>
      <c r="G57" s="81"/>
      <c r="H57" s="84"/>
      <c r="I57" s="82" t="str">
        <f t="shared" si="1"/>
        <v/>
      </c>
      <c r="J57" s="84"/>
      <c r="K57" s="78"/>
      <c r="L57" s="78"/>
      <c r="M57" s="78"/>
      <c r="N57" s="78"/>
      <c r="O57" s="78"/>
      <c r="P57" s="78"/>
      <c r="Q57" s="78"/>
      <c r="R57" s="82" t="str">
        <f t="shared" si="2"/>
        <v/>
      </c>
      <c r="S57" s="84">
        <v>500000.0</v>
      </c>
      <c r="T57" s="82" t="str">
        <f t="shared" si="3"/>
        <v/>
      </c>
      <c r="U57" s="83">
        <f t="shared" si="4"/>
        <v>0</v>
      </c>
      <c r="V57" s="83">
        <f t="shared" si="5"/>
        <v>0</v>
      </c>
      <c r="W57" s="83">
        <f t="shared" si="6"/>
        <v>0</v>
      </c>
      <c r="X57" s="78" t="s">
        <v>821</v>
      </c>
      <c r="Y57" s="78"/>
    </row>
    <row r="58" ht="15.75" customHeight="1">
      <c r="A58" s="78"/>
      <c r="B58" s="79"/>
      <c r="C58" s="78"/>
      <c r="D58" s="78"/>
      <c r="E58" s="78"/>
      <c r="F58" s="78"/>
      <c r="G58" s="81"/>
      <c r="H58" s="84"/>
      <c r="I58" s="82" t="str">
        <f t="shared" si="1"/>
        <v/>
      </c>
      <c r="J58" s="84"/>
      <c r="K58" s="78"/>
      <c r="L58" s="78"/>
      <c r="M58" s="78"/>
      <c r="N58" s="78"/>
      <c r="O58" s="78"/>
      <c r="P58" s="78"/>
      <c r="Q58" s="78"/>
      <c r="R58" s="82" t="str">
        <f t="shared" si="2"/>
        <v/>
      </c>
      <c r="S58" s="84">
        <v>500000.0</v>
      </c>
      <c r="T58" s="82" t="str">
        <f t="shared" si="3"/>
        <v/>
      </c>
      <c r="U58" s="83">
        <f t="shared" si="4"/>
        <v>0</v>
      </c>
      <c r="V58" s="83">
        <f t="shared" si="5"/>
        <v>0</v>
      </c>
      <c r="W58" s="83">
        <f t="shared" si="6"/>
        <v>0</v>
      </c>
      <c r="X58" s="78" t="s">
        <v>821</v>
      </c>
      <c r="Y58" s="78"/>
    </row>
    <row r="59" ht="15.75" customHeight="1">
      <c r="A59" s="78"/>
      <c r="B59" s="79"/>
      <c r="C59" s="78"/>
      <c r="D59" s="78"/>
      <c r="E59" s="78"/>
      <c r="F59" s="78"/>
      <c r="G59" s="81"/>
      <c r="H59" s="84"/>
      <c r="I59" s="82" t="str">
        <f t="shared" si="1"/>
        <v/>
      </c>
      <c r="J59" s="84"/>
      <c r="K59" s="78"/>
      <c r="L59" s="78"/>
      <c r="M59" s="78"/>
      <c r="N59" s="78"/>
      <c r="O59" s="78"/>
      <c r="P59" s="78"/>
      <c r="Q59" s="78"/>
      <c r="R59" s="82" t="str">
        <f t="shared" si="2"/>
        <v/>
      </c>
      <c r="S59" s="84">
        <v>500000.0</v>
      </c>
      <c r="T59" s="82" t="str">
        <f t="shared" si="3"/>
        <v/>
      </c>
      <c r="U59" s="83">
        <f t="shared" si="4"/>
        <v>0</v>
      </c>
      <c r="V59" s="83">
        <f t="shared" si="5"/>
        <v>0</v>
      </c>
      <c r="W59" s="83">
        <f t="shared" si="6"/>
        <v>0</v>
      </c>
      <c r="X59" s="78" t="s">
        <v>821</v>
      </c>
      <c r="Y59" s="78"/>
    </row>
    <row r="60" ht="15.75" customHeight="1">
      <c r="A60" s="78"/>
      <c r="B60" s="79"/>
      <c r="C60" s="78"/>
      <c r="D60" s="78"/>
      <c r="E60" s="78"/>
      <c r="F60" s="78"/>
      <c r="G60" s="81"/>
      <c r="H60" s="84"/>
      <c r="I60" s="82" t="str">
        <f t="shared" si="1"/>
        <v/>
      </c>
      <c r="J60" s="84"/>
      <c r="K60" s="78"/>
      <c r="L60" s="78"/>
      <c r="M60" s="78"/>
      <c r="N60" s="78"/>
      <c r="O60" s="78"/>
      <c r="P60" s="78"/>
      <c r="Q60" s="78"/>
      <c r="R60" s="82" t="str">
        <f t="shared" si="2"/>
        <v/>
      </c>
      <c r="S60" s="84">
        <v>500000.0</v>
      </c>
      <c r="T60" s="82" t="str">
        <f t="shared" si="3"/>
        <v/>
      </c>
      <c r="U60" s="83">
        <f t="shared" si="4"/>
        <v>0</v>
      </c>
      <c r="V60" s="83">
        <f t="shared" si="5"/>
        <v>0</v>
      </c>
      <c r="W60" s="83">
        <f t="shared" si="6"/>
        <v>0</v>
      </c>
      <c r="X60" s="78" t="s">
        <v>821</v>
      </c>
      <c r="Y60" s="78"/>
    </row>
    <row r="61" ht="15.75" customHeight="1">
      <c r="A61" s="78"/>
      <c r="B61" s="79"/>
      <c r="C61" s="78"/>
      <c r="D61" s="78"/>
      <c r="E61" s="78"/>
      <c r="F61" s="78"/>
      <c r="G61" s="81"/>
      <c r="H61" s="84"/>
      <c r="I61" s="82" t="str">
        <f t="shared" si="1"/>
        <v/>
      </c>
      <c r="J61" s="84"/>
      <c r="K61" s="78"/>
      <c r="L61" s="78"/>
      <c r="M61" s="78"/>
      <c r="N61" s="78"/>
      <c r="O61" s="78"/>
      <c r="P61" s="78"/>
      <c r="Q61" s="78"/>
      <c r="R61" s="82" t="str">
        <f t="shared" si="2"/>
        <v/>
      </c>
      <c r="S61" s="84">
        <v>500000.0</v>
      </c>
      <c r="T61" s="82" t="str">
        <f t="shared" si="3"/>
        <v/>
      </c>
      <c r="U61" s="83">
        <f t="shared" si="4"/>
        <v>0</v>
      </c>
      <c r="V61" s="83">
        <f t="shared" si="5"/>
        <v>0</v>
      </c>
      <c r="W61" s="83">
        <f t="shared" si="6"/>
        <v>0</v>
      </c>
      <c r="X61" s="78" t="s">
        <v>821</v>
      </c>
      <c r="Y61" s="78"/>
    </row>
    <row r="62" ht="15.75" customHeight="1">
      <c r="A62" s="78"/>
      <c r="B62" s="79"/>
      <c r="C62" s="78"/>
      <c r="D62" s="78"/>
      <c r="E62" s="78"/>
      <c r="F62" s="78"/>
      <c r="G62" s="81"/>
      <c r="H62" s="84"/>
      <c r="I62" s="82" t="str">
        <f t="shared" si="1"/>
        <v/>
      </c>
      <c r="J62" s="84"/>
      <c r="K62" s="78"/>
      <c r="L62" s="78"/>
      <c r="M62" s="78"/>
      <c r="N62" s="78"/>
      <c r="O62" s="78"/>
      <c r="P62" s="78"/>
      <c r="Q62" s="78"/>
      <c r="R62" s="82" t="str">
        <f t="shared" si="2"/>
        <v/>
      </c>
      <c r="S62" s="84">
        <v>500000.0</v>
      </c>
      <c r="T62" s="82" t="str">
        <f t="shared" si="3"/>
        <v/>
      </c>
      <c r="U62" s="83">
        <f t="shared" si="4"/>
        <v>0</v>
      </c>
      <c r="V62" s="83">
        <f t="shared" si="5"/>
        <v>0</v>
      </c>
      <c r="W62" s="83">
        <f t="shared" si="6"/>
        <v>0</v>
      </c>
      <c r="X62" s="78" t="s">
        <v>821</v>
      </c>
      <c r="Y62" s="78"/>
    </row>
    <row r="63" ht="15.75" customHeight="1">
      <c r="A63" s="78"/>
      <c r="B63" s="79"/>
      <c r="C63" s="78"/>
      <c r="D63" s="78"/>
      <c r="E63" s="78"/>
      <c r="F63" s="78"/>
      <c r="G63" s="81"/>
      <c r="H63" s="84"/>
      <c r="I63" s="82" t="str">
        <f t="shared" si="1"/>
        <v/>
      </c>
      <c r="J63" s="84"/>
      <c r="K63" s="78"/>
      <c r="L63" s="78"/>
      <c r="M63" s="78"/>
      <c r="N63" s="78"/>
      <c r="O63" s="78"/>
      <c r="P63" s="78"/>
      <c r="Q63" s="78"/>
      <c r="R63" s="82" t="str">
        <f t="shared" si="2"/>
        <v/>
      </c>
      <c r="S63" s="84">
        <v>500000.0</v>
      </c>
      <c r="T63" s="82" t="str">
        <f t="shared" si="3"/>
        <v/>
      </c>
      <c r="U63" s="83">
        <f t="shared" si="4"/>
        <v>0</v>
      </c>
      <c r="V63" s="83">
        <f t="shared" si="5"/>
        <v>0</v>
      </c>
      <c r="W63" s="83">
        <f t="shared" si="6"/>
        <v>0</v>
      </c>
      <c r="X63" s="78" t="s">
        <v>821</v>
      </c>
      <c r="Y63" s="78"/>
    </row>
    <row r="64" ht="15.75" customHeight="1">
      <c r="A64" s="78"/>
      <c r="B64" s="79"/>
      <c r="C64" s="78"/>
      <c r="D64" s="78"/>
      <c r="E64" s="78"/>
      <c r="F64" s="78"/>
      <c r="G64" s="81"/>
      <c r="H64" s="84"/>
      <c r="I64" s="82" t="str">
        <f t="shared" si="1"/>
        <v/>
      </c>
      <c r="J64" s="84"/>
      <c r="K64" s="78"/>
      <c r="L64" s="78"/>
      <c r="M64" s="78"/>
      <c r="N64" s="78"/>
      <c r="O64" s="78"/>
      <c r="P64" s="78"/>
      <c r="Q64" s="78"/>
      <c r="R64" s="82" t="str">
        <f t="shared" si="2"/>
        <v/>
      </c>
      <c r="S64" s="84">
        <v>500000.0</v>
      </c>
      <c r="T64" s="82" t="str">
        <f t="shared" si="3"/>
        <v/>
      </c>
      <c r="U64" s="83">
        <f t="shared" si="4"/>
        <v>0</v>
      </c>
      <c r="V64" s="83">
        <f t="shared" si="5"/>
        <v>0</v>
      </c>
      <c r="W64" s="83">
        <f t="shared" si="6"/>
        <v>0</v>
      </c>
      <c r="X64" s="78" t="s">
        <v>821</v>
      </c>
      <c r="Y64" s="78"/>
    </row>
    <row r="65" ht="15.75" customHeight="1">
      <c r="A65" s="78"/>
      <c r="B65" s="79"/>
      <c r="C65" s="78"/>
      <c r="D65" s="78"/>
      <c r="E65" s="78"/>
      <c r="F65" s="78"/>
      <c r="G65" s="81"/>
      <c r="H65" s="84"/>
      <c r="I65" s="82" t="str">
        <f t="shared" si="1"/>
        <v/>
      </c>
      <c r="J65" s="84"/>
      <c r="K65" s="78"/>
      <c r="L65" s="78"/>
      <c r="M65" s="78"/>
      <c r="N65" s="78"/>
      <c r="O65" s="78"/>
      <c r="P65" s="78"/>
      <c r="Q65" s="78"/>
      <c r="R65" s="82" t="str">
        <f t="shared" si="2"/>
        <v/>
      </c>
      <c r="S65" s="84">
        <v>500000.0</v>
      </c>
      <c r="T65" s="82" t="str">
        <f t="shared" si="3"/>
        <v/>
      </c>
      <c r="U65" s="83">
        <f t="shared" si="4"/>
        <v>0</v>
      </c>
      <c r="V65" s="83">
        <f t="shared" si="5"/>
        <v>0</v>
      </c>
      <c r="W65" s="83">
        <f t="shared" si="6"/>
        <v>0</v>
      </c>
      <c r="X65" s="78" t="s">
        <v>821</v>
      </c>
      <c r="Y65" s="78"/>
    </row>
    <row r="66" ht="15.75" customHeight="1">
      <c r="A66" s="78"/>
      <c r="B66" s="79"/>
      <c r="C66" s="78"/>
      <c r="D66" s="78"/>
      <c r="E66" s="78"/>
      <c r="F66" s="78"/>
      <c r="G66" s="81"/>
      <c r="H66" s="84"/>
      <c r="I66" s="82" t="str">
        <f t="shared" si="1"/>
        <v/>
      </c>
      <c r="J66" s="84"/>
      <c r="K66" s="78"/>
      <c r="L66" s="78"/>
      <c r="M66" s="78"/>
      <c r="N66" s="78"/>
      <c r="O66" s="78"/>
      <c r="P66" s="78"/>
      <c r="Q66" s="78"/>
      <c r="R66" s="82" t="str">
        <f t="shared" si="2"/>
        <v/>
      </c>
      <c r="S66" s="84">
        <v>500000.0</v>
      </c>
      <c r="T66" s="82" t="str">
        <f t="shared" si="3"/>
        <v/>
      </c>
      <c r="U66" s="83">
        <f t="shared" si="4"/>
        <v>0</v>
      </c>
      <c r="V66" s="83">
        <f t="shared" si="5"/>
        <v>0</v>
      </c>
      <c r="W66" s="83">
        <f t="shared" si="6"/>
        <v>0</v>
      </c>
      <c r="X66" s="78" t="s">
        <v>821</v>
      </c>
      <c r="Y66" s="78"/>
    </row>
    <row r="67" ht="15.75" customHeight="1">
      <c r="A67" s="78"/>
      <c r="B67" s="79"/>
      <c r="C67" s="78"/>
      <c r="D67" s="78"/>
      <c r="E67" s="78"/>
      <c r="F67" s="78"/>
      <c r="G67" s="81"/>
      <c r="H67" s="84"/>
      <c r="I67" s="82" t="str">
        <f t="shared" si="1"/>
        <v/>
      </c>
      <c r="J67" s="84"/>
      <c r="K67" s="78"/>
      <c r="L67" s="78"/>
      <c r="M67" s="78"/>
      <c r="N67" s="78"/>
      <c r="O67" s="78"/>
      <c r="P67" s="78"/>
      <c r="Q67" s="78"/>
      <c r="R67" s="82" t="str">
        <f t="shared" si="2"/>
        <v/>
      </c>
      <c r="S67" s="84">
        <v>500000.0</v>
      </c>
      <c r="T67" s="82" t="str">
        <f t="shared" si="3"/>
        <v/>
      </c>
      <c r="U67" s="83">
        <f t="shared" si="4"/>
        <v>0</v>
      </c>
      <c r="V67" s="83">
        <f t="shared" si="5"/>
        <v>0</v>
      </c>
      <c r="W67" s="83">
        <f t="shared" si="6"/>
        <v>0</v>
      </c>
      <c r="X67" s="78" t="s">
        <v>821</v>
      </c>
      <c r="Y67" s="78"/>
    </row>
    <row r="68" ht="15.75" customHeight="1">
      <c r="A68" s="78"/>
      <c r="B68" s="79"/>
      <c r="C68" s="78"/>
      <c r="D68" s="78"/>
      <c r="E68" s="78"/>
      <c r="F68" s="78"/>
      <c r="G68" s="81"/>
      <c r="H68" s="84"/>
      <c r="I68" s="82" t="str">
        <f t="shared" si="1"/>
        <v/>
      </c>
      <c r="J68" s="84"/>
      <c r="K68" s="78"/>
      <c r="L68" s="78"/>
      <c r="M68" s="78"/>
      <c r="N68" s="78"/>
      <c r="O68" s="78"/>
      <c r="P68" s="78"/>
      <c r="Q68" s="78"/>
      <c r="R68" s="82" t="str">
        <f t="shared" si="2"/>
        <v/>
      </c>
      <c r="S68" s="84">
        <v>500000.0</v>
      </c>
      <c r="T68" s="82" t="str">
        <f t="shared" si="3"/>
        <v/>
      </c>
      <c r="U68" s="83">
        <f t="shared" si="4"/>
        <v>0</v>
      </c>
      <c r="V68" s="83">
        <f t="shared" si="5"/>
        <v>0</v>
      </c>
      <c r="W68" s="83">
        <f t="shared" si="6"/>
        <v>0</v>
      </c>
      <c r="X68" s="78" t="s">
        <v>821</v>
      </c>
      <c r="Y68" s="78"/>
    </row>
    <row r="69" ht="15.75" customHeight="1">
      <c r="A69" s="78"/>
      <c r="B69" s="79"/>
      <c r="C69" s="78"/>
      <c r="D69" s="78"/>
      <c r="E69" s="78"/>
      <c r="F69" s="78"/>
      <c r="G69" s="81"/>
      <c r="H69" s="84"/>
      <c r="I69" s="82" t="str">
        <f t="shared" si="1"/>
        <v/>
      </c>
      <c r="J69" s="84"/>
      <c r="K69" s="78"/>
      <c r="L69" s="78"/>
      <c r="M69" s="78"/>
      <c r="N69" s="78"/>
      <c r="O69" s="78"/>
      <c r="P69" s="78"/>
      <c r="Q69" s="78"/>
      <c r="R69" s="82" t="str">
        <f t="shared" si="2"/>
        <v/>
      </c>
      <c r="S69" s="84">
        <v>500000.0</v>
      </c>
      <c r="T69" s="82" t="str">
        <f t="shared" si="3"/>
        <v/>
      </c>
      <c r="U69" s="83">
        <f t="shared" si="4"/>
        <v>0</v>
      </c>
      <c r="V69" s="83">
        <f t="shared" si="5"/>
        <v>0</v>
      </c>
      <c r="W69" s="83">
        <f t="shared" si="6"/>
        <v>0</v>
      </c>
      <c r="X69" s="78" t="s">
        <v>821</v>
      </c>
      <c r="Y69" s="78"/>
    </row>
    <row r="70" ht="15.75" customHeight="1">
      <c r="A70" s="78"/>
      <c r="B70" s="79"/>
      <c r="C70" s="78"/>
      <c r="D70" s="78"/>
      <c r="E70" s="78"/>
      <c r="F70" s="78"/>
      <c r="G70" s="81"/>
      <c r="H70" s="84"/>
      <c r="I70" s="82" t="str">
        <f t="shared" si="1"/>
        <v/>
      </c>
      <c r="J70" s="84"/>
      <c r="K70" s="78"/>
      <c r="L70" s="78"/>
      <c r="M70" s="78"/>
      <c r="N70" s="78"/>
      <c r="O70" s="78"/>
      <c r="P70" s="78"/>
      <c r="Q70" s="78"/>
      <c r="R70" s="82" t="str">
        <f t="shared" si="2"/>
        <v/>
      </c>
      <c r="S70" s="84">
        <v>500000.0</v>
      </c>
      <c r="T70" s="82" t="str">
        <f t="shared" si="3"/>
        <v/>
      </c>
      <c r="U70" s="83">
        <f t="shared" si="4"/>
        <v>0</v>
      </c>
      <c r="V70" s="83">
        <f t="shared" si="5"/>
        <v>0</v>
      </c>
      <c r="W70" s="83">
        <f t="shared" si="6"/>
        <v>0</v>
      </c>
      <c r="X70" s="78" t="s">
        <v>821</v>
      </c>
      <c r="Y70" s="78"/>
    </row>
    <row r="71" ht="15.75" customHeight="1">
      <c r="A71" s="78"/>
      <c r="B71" s="79"/>
      <c r="C71" s="78"/>
      <c r="D71" s="78"/>
      <c r="E71" s="78"/>
      <c r="F71" s="78"/>
      <c r="G71" s="81"/>
      <c r="H71" s="84"/>
      <c r="I71" s="82" t="str">
        <f t="shared" si="1"/>
        <v/>
      </c>
      <c r="J71" s="84"/>
      <c r="K71" s="78"/>
      <c r="L71" s="78"/>
      <c r="M71" s="78"/>
      <c r="N71" s="78"/>
      <c r="O71" s="78"/>
      <c r="P71" s="78"/>
      <c r="Q71" s="78"/>
      <c r="R71" s="82" t="str">
        <f t="shared" si="2"/>
        <v/>
      </c>
      <c r="S71" s="84">
        <v>500000.0</v>
      </c>
      <c r="T71" s="82" t="str">
        <f t="shared" si="3"/>
        <v/>
      </c>
      <c r="U71" s="83">
        <f t="shared" si="4"/>
        <v>0</v>
      </c>
      <c r="V71" s="83">
        <f t="shared" si="5"/>
        <v>0</v>
      </c>
      <c r="W71" s="83">
        <f t="shared" si="6"/>
        <v>0</v>
      </c>
      <c r="X71" s="78" t="s">
        <v>821</v>
      </c>
      <c r="Y71" s="78"/>
    </row>
    <row r="72" ht="15.75" customHeight="1">
      <c r="A72" s="78"/>
      <c r="B72" s="79"/>
      <c r="C72" s="78"/>
      <c r="D72" s="78"/>
      <c r="E72" s="78"/>
      <c r="F72" s="78"/>
      <c r="G72" s="81"/>
      <c r="H72" s="84"/>
      <c r="I72" s="82" t="str">
        <f t="shared" si="1"/>
        <v/>
      </c>
      <c r="J72" s="84"/>
      <c r="K72" s="78"/>
      <c r="L72" s="78"/>
      <c r="M72" s="78"/>
      <c r="N72" s="78"/>
      <c r="O72" s="78"/>
      <c r="P72" s="78"/>
      <c r="Q72" s="78"/>
      <c r="R72" s="82" t="str">
        <f t="shared" si="2"/>
        <v/>
      </c>
      <c r="S72" s="84">
        <v>500000.0</v>
      </c>
      <c r="T72" s="82" t="str">
        <f t="shared" si="3"/>
        <v/>
      </c>
      <c r="U72" s="83">
        <f t="shared" si="4"/>
        <v>0</v>
      </c>
      <c r="V72" s="83">
        <f t="shared" si="5"/>
        <v>0</v>
      </c>
      <c r="W72" s="83">
        <f t="shared" si="6"/>
        <v>0</v>
      </c>
      <c r="X72" s="78" t="s">
        <v>821</v>
      </c>
      <c r="Y72" s="78"/>
    </row>
    <row r="73" ht="15.75" customHeight="1">
      <c r="A73" s="78"/>
      <c r="B73" s="79"/>
      <c r="C73" s="78"/>
      <c r="D73" s="78"/>
      <c r="E73" s="78"/>
      <c r="F73" s="78"/>
      <c r="G73" s="81"/>
      <c r="H73" s="84"/>
      <c r="I73" s="82" t="str">
        <f t="shared" si="1"/>
        <v/>
      </c>
      <c r="J73" s="84"/>
      <c r="K73" s="78"/>
      <c r="L73" s="78"/>
      <c r="M73" s="78"/>
      <c r="N73" s="78"/>
      <c r="O73" s="78"/>
      <c r="P73" s="78"/>
      <c r="Q73" s="78"/>
      <c r="R73" s="82" t="str">
        <f t="shared" si="2"/>
        <v/>
      </c>
      <c r="S73" s="84">
        <v>500000.0</v>
      </c>
      <c r="T73" s="82" t="str">
        <f t="shared" si="3"/>
        <v/>
      </c>
      <c r="U73" s="83">
        <f t="shared" si="4"/>
        <v>0</v>
      </c>
      <c r="V73" s="83">
        <f t="shared" si="5"/>
        <v>0</v>
      </c>
      <c r="W73" s="83">
        <f t="shared" si="6"/>
        <v>0</v>
      </c>
      <c r="X73" s="78" t="s">
        <v>821</v>
      </c>
      <c r="Y73" s="78"/>
    </row>
    <row r="74" ht="15.75" customHeight="1">
      <c r="A74" s="78"/>
      <c r="B74" s="79"/>
      <c r="C74" s="78"/>
      <c r="D74" s="78"/>
      <c r="E74" s="78"/>
      <c r="F74" s="78"/>
      <c r="G74" s="81"/>
      <c r="H74" s="84"/>
      <c r="I74" s="82" t="str">
        <f t="shared" si="1"/>
        <v/>
      </c>
      <c r="J74" s="84"/>
      <c r="K74" s="78"/>
      <c r="L74" s="78"/>
      <c r="M74" s="78"/>
      <c r="N74" s="78"/>
      <c r="O74" s="78"/>
      <c r="P74" s="78"/>
      <c r="Q74" s="78"/>
      <c r="R74" s="82" t="str">
        <f t="shared" si="2"/>
        <v/>
      </c>
      <c r="S74" s="84">
        <v>500000.0</v>
      </c>
      <c r="T74" s="82" t="str">
        <f t="shared" si="3"/>
        <v/>
      </c>
      <c r="U74" s="83">
        <f t="shared" si="4"/>
        <v>0</v>
      </c>
      <c r="V74" s="83">
        <f t="shared" si="5"/>
        <v>0</v>
      </c>
      <c r="W74" s="83">
        <f t="shared" si="6"/>
        <v>0</v>
      </c>
      <c r="X74" s="78" t="s">
        <v>821</v>
      </c>
      <c r="Y74" s="78"/>
    </row>
    <row r="75" ht="15.75" customHeight="1">
      <c r="A75" s="78"/>
      <c r="B75" s="79"/>
      <c r="C75" s="78"/>
      <c r="D75" s="78"/>
      <c r="E75" s="78"/>
      <c r="F75" s="78"/>
      <c r="G75" s="81"/>
      <c r="H75" s="84"/>
      <c r="I75" s="82" t="str">
        <f t="shared" si="1"/>
        <v/>
      </c>
      <c r="J75" s="84"/>
      <c r="K75" s="78"/>
      <c r="L75" s="78"/>
      <c r="M75" s="78"/>
      <c r="N75" s="78"/>
      <c r="O75" s="78"/>
      <c r="P75" s="78"/>
      <c r="Q75" s="78"/>
      <c r="R75" s="82" t="str">
        <f t="shared" si="2"/>
        <v/>
      </c>
      <c r="S75" s="84">
        <v>500000.0</v>
      </c>
      <c r="T75" s="82" t="str">
        <f t="shared" si="3"/>
        <v/>
      </c>
      <c r="U75" s="83">
        <f t="shared" si="4"/>
        <v>0</v>
      </c>
      <c r="V75" s="83">
        <f t="shared" si="5"/>
        <v>0</v>
      </c>
      <c r="W75" s="83">
        <f t="shared" si="6"/>
        <v>0</v>
      </c>
      <c r="X75" s="78" t="s">
        <v>821</v>
      </c>
      <c r="Y75" s="78"/>
    </row>
    <row r="76" ht="15.75" customHeight="1">
      <c r="A76" s="78"/>
      <c r="B76" s="79"/>
      <c r="C76" s="78"/>
      <c r="D76" s="78"/>
      <c r="E76" s="78"/>
      <c r="F76" s="78"/>
      <c r="G76" s="81"/>
      <c r="H76" s="84"/>
      <c r="I76" s="82" t="str">
        <f t="shared" si="1"/>
        <v/>
      </c>
      <c r="J76" s="84"/>
      <c r="K76" s="78"/>
      <c r="L76" s="78"/>
      <c r="M76" s="78"/>
      <c r="N76" s="78"/>
      <c r="O76" s="78"/>
      <c r="P76" s="78"/>
      <c r="Q76" s="78"/>
      <c r="R76" s="82" t="str">
        <f t="shared" si="2"/>
        <v/>
      </c>
      <c r="S76" s="84">
        <v>500000.0</v>
      </c>
      <c r="T76" s="82" t="str">
        <f t="shared" si="3"/>
        <v/>
      </c>
      <c r="U76" s="83">
        <f t="shared" si="4"/>
        <v>0</v>
      </c>
      <c r="V76" s="83">
        <f t="shared" si="5"/>
        <v>0</v>
      </c>
      <c r="W76" s="83">
        <f t="shared" si="6"/>
        <v>0</v>
      </c>
      <c r="X76" s="78" t="s">
        <v>821</v>
      </c>
      <c r="Y76" s="78"/>
    </row>
    <row r="77" ht="15.75" customHeight="1">
      <c r="A77" s="78"/>
      <c r="B77" s="79"/>
      <c r="C77" s="78"/>
      <c r="D77" s="78"/>
      <c r="E77" s="78"/>
      <c r="F77" s="78"/>
      <c r="G77" s="81"/>
      <c r="H77" s="84"/>
      <c r="I77" s="82" t="str">
        <f t="shared" si="1"/>
        <v/>
      </c>
      <c r="J77" s="84"/>
      <c r="K77" s="78"/>
      <c r="L77" s="78"/>
      <c r="M77" s="78"/>
      <c r="N77" s="78"/>
      <c r="O77" s="78"/>
      <c r="P77" s="78"/>
      <c r="Q77" s="78"/>
      <c r="R77" s="82" t="str">
        <f t="shared" si="2"/>
        <v/>
      </c>
      <c r="S77" s="84">
        <v>500000.0</v>
      </c>
      <c r="T77" s="82" t="str">
        <f t="shared" si="3"/>
        <v/>
      </c>
      <c r="U77" s="83">
        <f t="shared" si="4"/>
        <v>0</v>
      </c>
      <c r="V77" s="83">
        <f t="shared" si="5"/>
        <v>0</v>
      </c>
      <c r="W77" s="83">
        <f t="shared" si="6"/>
        <v>0</v>
      </c>
      <c r="X77" s="78" t="s">
        <v>821</v>
      </c>
      <c r="Y77" s="78"/>
    </row>
    <row r="78" ht="15.75" customHeight="1">
      <c r="A78" s="78"/>
      <c r="B78" s="79"/>
      <c r="C78" s="78"/>
      <c r="D78" s="78"/>
      <c r="E78" s="78"/>
      <c r="F78" s="78"/>
      <c r="G78" s="81"/>
      <c r="H78" s="84"/>
      <c r="I78" s="82" t="str">
        <f t="shared" si="1"/>
        <v/>
      </c>
      <c r="J78" s="84"/>
      <c r="K78" s="78"/>
      <c r="L78" s="78"/>
      <c r="M78" s="78"/>
      <c r="N78" s="78"/>
      <c r="O78" s="78"/>
      <c r="P78" s="78"/>
      <c r="Q78" s="78"/>
      <c r="R78" s="82" t="str">
        <f t="shared" si="2"/>
        <v/>
      </c>
      <c r="S78" s="84">
        <v>500000.0</v>
      </c>
      <c r="T78" s="82" t="str">
        <f t="shared" si="3"/>
        <v/>
      </c>
      <c r="U78" s="83">
        <f t="shared" si="4"/>
        <v>0</v>
      </c>
      <c r="V78" s="83">
        <f t="shared" si="5"/>
        <v>0</v>
      </c>
      <c r="W78" s="83">
        <f t="shared" si="6"/>
        <v>0</v>
      </c>
      <c r="X78" s="78" t="s">
        <v>821</v>
      </c>
      <c r="Y78" s="78"/>
    </row>
    <row r="79" ht="15.75" customHeight="1">
      <c r="A79" s="78"/>
      <c r="B79" s="79"/>
      <c r="C79" s="78"/>
      <c r="D79" s="78"/>
      <c r="E79" s="78"/>
      <c r="F79" s="78"/>
      <c r="G79" s="81"/>
      <c r="H79" s="84"/>
      <c r="I79" s="82" t="str">
        <f t="shared" si="1"/>
        <v/>
      </c>
      <c r="J79" s="84"/>
      <c r="K79" s="78"/>
      <c r="L79" s="78"/>
      <c r="M79" s="78"/>
      <c r="N79" s="78"/>
      <c r="O79" s="78"/>
      <c r="P79" s="78"/>
      <c r="Q79" s="78"/>
      <c r="R79" s="82" t="str">
        <f t="shared" si="2"/>
        <v/>
      </c>
      <c r="S79" s="84">
        <v>500000.0</v>
      </c>
      <c r="T79" s="82" t="str">
        <f t="shared" si="3"/>
        <v/>
      </c>
      <c r="U79" s="83">
        <f t="shared" si="4"/>
        <v>0</v>
      </c>
      <c r="V79" s="83">
        <f t="shared" si="5"/>
        <v>0</v>
      </c>
      <c r="W79" s="83">
        <f t="shared" si="6"/>
        <v>0</v>
      </c>
      <c r="X79" s="78" t="s">
        <v>821</v>
      </c>
      <c r="Y79" s="78"/>
    </row>
    <row r="80" ht="15.75" customHeight="1">
      <c r="A80" s="78"/>
      <c r="B80" s="79"/>
      <c r="C80" s="78"/>
      <c r="D80" s="78"/>
      <c r="E80" s="78"/>
      <c r="F80" s="78"/>
      <c r="G80" s="81"/>
      <c r="H80" s="84"/>
      <c r="I80" s="82" t="str">
        <f t="shared" si="1"/>
        <v/>
      </c>
      <c r="J80" s="84"/>
      <c r="K80" s="78"/>
      <c r="L80" s="78"/>
      <c r="M80" s="78"/>
      <c r="N80" s="78"/>
      <c r="O80" s="78"/>
      <c r="P80" s="78"/>
      <c r="Q80" s="78"/>
      <c r="R80" s="82" t="str">
        <f t="shared" si="2"/>
        <v/>
      </c>
      <c r="S80" s="84">
        <v>500000.0</v>
      </c>
      <c r="T80" s="82" t="str">
        <f t="shared" si="3"/>
        <v/>
      </c>
      <c r="U80" s="83">
        <f t="shared" si="4"/>
        <v>0</v>
      </c>
      <c r="V80" s="83">
        <f t="shared" si="5"/>
        <v>0</v>
      </c>
      <c r="W80" s="83">
        <f t="shared" si="6"/>
        <v>0</v>
      </c>
      <c r="X80" s="78" t="s">
        <v>821</v>
      </c>
      <c r="Y80" s="78"/>
    </row>
    <row r="81" ht="15.75" customHeight="1">
      <c r="A81" s="78"/>
      <c r="B81" s="79"/>
      <c r="C81" s="78"/>
      <c r="D81" s="78"/>
      <c r="E81" s="78"/>
      <c r="F81" s="78"/>
      <c r="G81" s="81"/>
      <c r="H81" s="84"/>
      <c r="I81" s="82" t="str">
        <f t="shared" si="1"/>
        <v/>
      </c>
      <c r="J81" s="84"/>
      <c r="K81" s="78"/>
      <c r="L81" s="78"/>
      <c r="M81" s="78"/>
      <c r="N81" s="78"/>
      <c r="O81" s="78"/>
      <c r="P81" s="78"/>
      <c r="Q81" s="78"/>
      <c r="R81" s="82" t="str">
        <f t="shared" si="2"/>
        <v/>
      </c>
      <c r="S81" s="84">
        <v>500000.0</v>
      </c>
      <c r="T81" s="82" t="str">
        <f t="shared" si="3"/>
        <v/>
      </c>
      <c r="U81" s="83">
        <f t="shared" si="4"/>
        <v>0</v>
      </c>
      <c r="V81" s="83">
        <f t="shared" si="5"/>
        <v>0</v>
      </c>
      <c r="W81" s="83">
        <f t="shared" si="6"/>
        <v>0</v>
      </c>
      <c r="X81" s="78" t="s">
        <v>821</v>
      </c>
      <c r="Y81" s="78"/>
    </row>
    <row r="82" ht="15.75" customHeight="1">
      <c r="A82" s="78"/>
      <c r="B82" s="79"/>
      <c r="C82" s="78"/>
      <c r="D82" s="78"/>
      <c r="E82" s="78"/>
      <c r="F82" s="78"/>
      <c r="G82" s="81"/>
      <c r="H82" s="84"/>
      <c r="I82" s="82" t="str">
        <f t="shared" si="1"/>
        <v/>
      </c>
      <c r="J82" s="84"/>
      <c r="K82" s="78"/>
      <c r="L82" s="78"/>
      <c r="M82" s="78"/>
      <c r="N82" s="78"/>
      <c r="O82" s="78"/>
      <c r="P82" s="78"/>
      <c r="Q82" s="78"/>
      <c r="R82" s="82" t="str">
        <f t="shared" si="2"/>
        <v/>
      </c>
      <c r="S82" s="84">
        <v>500000.0</v>
      </c>
      <c r="T82" s="82" t="str">
        <f t="shared" si="3"/>
        <v/>
      </c>
      <c r="U82" s="83">
        <f t="shared" si="4"/>
        <v>0</v>
      </c>
      <c r="V82" s="83">
        <f t="shared" si="5"/>
        <v>0</v>
      </c>
      <c r="W82" s="83">
        <f t="shared" si="6"/>
        <v>0</v>
      </c>
      <c r="X82" s="78" t="s">
        <v>821</v>
      </c>
      <c r="Y82" s="78"/>
    </row>
    <row r="83" ht="15.75" customHeight="1">
      <c r="A83" s="78"/>
      <c r="B83" s="79"/>
      <c r="C83" s="78"/>
      <c r="D83" s="78"/>
      <c r="E83" s="78"/>
      <c r="F83" s="78"/>
      <c r="G83" s="81"/>
      <c r="H83" s="84"/>
      <c r="I83" s="82" t="str">
        <f t="shared" si="1"/>
        <v/>
      </c>
      <c r="J83" s="84"/>
      <c r="K83" s="78"/>
      <c r="L83" s="78"/>
      <c r="M83" s="78"/>
      <c r="N83" s="78"/>
      <c r="O83" s="78"/>
      <c r="P83" s="78"/>
      <c r="Q83" s="78"/>
      <c r="R83" s="82" t="str">
        <f t="shared" si="2"/>
        <v/>
      </c>
      <c r="S83" s="84">
        <v>500000.0</v>
      </c>
      <c r="T83" s="82" t="str">
        <f t="shared" si="3"/>
        <v/>
      </c>
      <c r="U83" s="83">
        <f t="shared" si="4"/>
        <v>0</v>
      </c>
      <c r="V83" s="83">
        <f t="shared" si="5"/>
        <v>0</v>
      </c>
      <c r="W83" s="83">
        <f t="shared" si="6"/>
        <v>0</v>
      </c>
      <c r="X83" s="78" t="s">
        <v>821</v>
      </c>
      <c r="Y83" s="78"/>
    </row>
    <row r="84" ht="15.75" customHeight="1">
      <c r="A84" s="78"/>
      <c r="B84" s="79"/>
      <c r="C84" s="78"/>
      <c r="D84" s="78"/>
      <c r="E84" s="78"/>
      <c r="F84" s="78"/>
      <c r="G84" s="81"/>
      <c r="H84" s="84"/>
      <c r="I84" s="82" t="str">
        <f t="shared" si="1"/>
        <v/>
      </c>
      <c r="J84" s="84"/>
      <c r="K84" s="78"/>
      <c r="L84" s="78"/>
      <c r="M84" s="78"/>
      <c r="N84" s="78"/>
      <c r="O84" s="78"/>
      <c r="P84" s="78"/>
      <c r="Q84" s="78"/>
      <c r="R84" s="82" t="str">
        <f t="shared" si="2"/>
        <v/>
      </c>
      <c r="S84" s="84">
        <v>500000.0</v>
      </c>
      <c r="T84" s="82" t="str">
        <f t="shared" si="3"/>
        <v/>
      </c>
      <c r="U84" s="83">
        <f t="shared" si="4"/>
        <v>0</v>
      </c>
      <c r="V84" s="83">
        <f t="shared" si="5"/>
        <v>0</v>
      </c>
      <c r="W84" s="83">
        <f t="shared" si="6"/>
        <v>0</v>
      </c>
      <c r="X84" s="78" t="s">
        <v>821</v>
      </c>
      <c r="Y84" s="78"/>
    </row>
    <row r="85" ht="15.75" customHeight="1">
      <c r="A85" s="78"/>
      <c r="B85" s="79"/>
      <c r="C85" s="78"/>
      <c r="D85" s="78"/>
      <c r="E85" s="78"/>
      <c r="F85" s="78"/>
      <c r="G85" s="81"/>
      <c r="H85" s="84"/>
      <c r="I85" s="82" t="str">
        <f t="shared" si="1"/>
        <v/>
      </c>
      <c r="J85" s="84"/>
      <c r="K85" s="78"/>
      <c r="L85" s="78"/>
      <c r="M85" s="78"/>
      <c r="N85" s="78"/>
      <c r="O85" s="78"/>
      <c r="P85" s="78"/>
      <c r="Q85" s="78"/>
      <c r="R85" s="82" t="str">
        <f t="shared" si="2"/>
        <v/>
      </c>
      <c r="S85" s="84">
        <v>500000.0</v>
      </c>
      <c r="T85" s="82" t="str">
        <f t="shared" si="3"/>
        <v/>
      </c>
      <c r="U85" s="83">
        <f t="shared" si="4"/>
        <v>0</v>
      </c>
      <c r="V85" s="83">
        <f t="shared" si="5"/>
        <v>0</v>
      </c>
      <c r="W85" s="83">
        <f t="shared" si="6"/>
        <v>0</v>
      </c>
      <c r="X85" s="78" t="s">
        <v>821</v>
      </c>
      <c r="Y85" s="78"/>
    </row>
    <row r="86" ht="15.75" customHeight="1">
      <c r="A86" s="78"/>
      <c r="B86" s="79"/>
      <c r="C86" s="78"/>
      <c r="D86" s="78"/>
      <c r="E86" s="78"/>
      <c r="F86" s="78"/>
      <c r="G86" s="81"/>
      <c r="H86" s="84"/>
      <c r="I86" s="82" t="str">
        <f t="shared" si="1"/>
        <v/>
      </c>
      <c r="J86" s="84"/>
      <c r="K86" s="78"/>
      <c r="L86" s="78"/>
      <c r="M86" s="78"/>
      <c r="N86" s="78"/>
      <c r="O86" s="78"/>
      <c r="P86" s="78"/>
      <c r="Q86" s="78"/>
      <c r="R86" s="82" t="str">
        <f t="shared" si="2"/>
        <v/>
      </c>
      <c r="S86" s="84">
        <v>500000.0</v>
      </c>
      <c r="T86" s="82" t="str">
        <f t="shared" si="3"/>
        <v/>
      </c>
      <c r="U86" s="83">
        <f t="shared" si="4"/>
        <v>0</v>
      </c>
      <c r="V86" s="83">
        <f t="shared" si="5"/>
        <v>0</v>
      </c>
      <c r="W86" s="83">
        <f t="shared" si="6"/>
        <v>0</v>
      </c>
      <c r="X86" s="78" t="s">
        <v>821</v>
      </c>
      <c r="Y86" s="78"/>
    </row>
    <row r="87" ht="15.75" customHeight="1">
      <c r="A87" s="78"/>
      <c r="B87" s="79"/>
      <c r="C87" s="78"/>
      <c r="D87" s="78"/>
      <c r="E87" s="78"/>
      <c r="F87" s="78"/>
      <c r="G87" s="81"/>
      <c r="H87" s="84"/>
      <c r="I87" s="82" t="str">
        <f t="shared" si="1"/>
        <v/>
      </c>
      <c r="J87" s="84"/>
      <c r="K87" s="78"/>
      <c r="L87" s="78"/>
      <c r="M87" s="78"/>
      <c r="N87" s="78"/>
      <c r="O87" s="78"/>
      <c r="P87" s="78"/>
      <c r="Q87" s="78"/>
      <c r="R87" s="82" t="str">
        <f t="shared" si="2"/>
        <v/>
      </c>
      <c r="S87" s="84">
        <v>500000.0</v>
      </c>
      <c r="T87" s="82" t="str">
        <f t="shared" si="3"/>
        <v/>
      </c>
      <c r="U87" s="83">
        <f t="shared" si="4"/>
        <v>0</v>
      </c>
      <c r="V87" s="83">
        <f t="shared" si="5"/>
        <v>0</v>
      </c>
      <c r="W87" s="83">
        <f t="shared" si="6"/>
        <v>0</v>
      </c>
      <c r="X87" s="78" t="s">
        <v>821</v>
      </c>
      <c r="Y87" s="78"/>
    </row>
    <row r="88" ht="15.75" customHeight="1">
      <c r="A88" s="78"/>
      <c r="B88" s="79"/>
      <c r="C88" s="78"/>
      <c r="D88" s="78"/>
      <c r="E88" s="78"/>
      <c r="F88" s="78"/>
      <c r="G88" s="81"/>
      <c r="H88" s="84"/>
      <c r="I88" s="82" t="str">
        <f t="shared" si="1"/>
        <v/>
      </c>
      <c r="J88" s="84"/>
      <c r="K88" s="78"/>
      <c r="L88" s="78"/>
      <c r="M88" s="78"/>
      <c r="N88" s="78"/>
      <c r="O88" s="78"/>
      <c r="P88" s="78"/>
      <c r="Q88" s="78"/>
      <c r="R88" s="82" t="str">
        <f t="shared" si="2"/>
        <v/>
      </c>
      <c r="S88" s="84">
        <v>500000.0</v>
      </c>
      <c r="T88" s="82" t="str">
        <f t="shared" si="3"/>
        <v/>
      </c>
      <c r="U88" s="83">
        <f t="shared" si="4"/>
        <v>0</v>
      </c>
      <c r="V88" s="83">
        <f t="shared" si="5"/>
        <v>0</v>
      </c>
      <c r="W88" s="83">
        <f t="shared" si="6"/>
        <v>0</v>
      </c>
      <c r="X88" s="78" t="s">
        <v>821</v>
      </c>
      <c r="Y88" s="78"/>
    </row>
    <row r="89" ht="15.75" customHeight="1">
      <c r="A89" s="78"/>
      <c r="B89" s="79"/>
      <c r="C89" s="78"/>
      <c r="D89" s="78"/>
      <c r="E89" s="78"/>
      <c r="F89" s="78"/>
      <c r="G89" s="81"/>
      <c r="H89" s="84"/>
      <c r="I89" s="82" t="str">
        <f t="shared" si="1"/>
        <v/>
      </c>
      <c r="J89" s="84"/>
      <c r="K89" s="78"/>
      <c r="L89" s="78"/>
      <c r="M89" s="78"/>
      <c r="N89" s="78"/>
      <c r="O89" s="78"/>
      <c r="P89" s="78"/>
      <c r="Q89" s="78"/>
      <c r="R89" s="82" t="str">
        <f t="shared" si="2"/>
        <v/>
      </c>
      <c r="S89" s="84">
        <v>500000.0</v>
      </c>
      <c r="T89" s="82" t="str">
        <f t="shared" si="3"/>
        <v/>
      </c>
      <c r="U89" s="83">
        <f t="shared" si="4"/>
        <v>0</v>
      </c>
      <c r="V89" s="83">
        <f t="shared" si="5"/>
        <v>0</v>
      </c>
      <c r="W89" s="83">
        <f t="shared" si="6"/>
        <v>0</v>
      </c>
      <c r="X89" s="78" t="s">
        <v>821</v>
      </c>
      <c r="Y89" s="78"/>
    </row>
    <row r="90" ht="15.75" customHeight="1">
      <c r="A90" s="78"/>
      <c r="B90" s="79"/>
      <c r="C90" s="78"/>
      <c r="D90" s="78"/>
      <c r="E90" s="78"/>
      <c r="F90" s="78"/>
      <c r="G90" s="81"/>
      <c r="H90" s="84"/>
      <c r="I90" s="82" t="str">
        <f t="shared" si="1"/>
        <v/>
      </c>
      <c r="J90" s="84"/>
      <c r="K90" s="78"/>
      <c r="L90" s="78"/>
      <c r="M90" s="78"/>
      <c r="N90" s="78"/>
      <c r="O90" s="78"/>
      <c r="P90" s="78"/>
      <c r="Q90" s="78"/>
      <c r="R90" s="82" t="str">
        <f t="shared" si="2"/>
        <v/>
      </c>
      <c r="S90" s="84">
        <v>500000.0</v>
      </c>
      <c r="T90" s="82" t="str">
        <f t="shared" si="3"/>
        <v/>
      </c>
      <c r="U90" s="83">
        <f t="shared" si="4"/>
        <v>0</v>
      </c>
      <c r="V90" s="83">
        <f t="shared" si="5"/>
        <v>0</v>
      </c>
      <c r="W90" s="83">
        <f t="shared" si="6"/>
        <v>0</v>
      </c>
      <c r="X90" s="78" t="s">
        <v>821</v>
      </c>
      <c r="Y90" s="78"/>
    </row>
    <row r="91" ht="15.75" customHeight="1">
      <c r="A91" s="78"/>
      <c r="B91" s="79"/>
      <c r="C91" s="78"/>
      <c r="D91" s="78"/>
      <c r="E91" s="78"/>
      <c r="F91" s="78"/>
      <c r="G91" s="81"/>
      <c r="H91" s="84"/>
      <c r="I91" s="82" t="str">
        <f t="shared" si="1"/>
        <v/>
      </c>
      <c r="J91" s="84"/>
      <c r="K91" s="78"/>
      <c r="L91" s="78"/>
      <c r="M91" s="78"/>
      <c r="N91" s="78"/>
      <c r="O91" s="78"/>
      <c r="P91" s="78"/>
      <c r="Q91" s="78"/>
      <c r="R91" s="82" t="str">
        <f t="shared" si="2"/>
        <v/>
      </c>
      <c r="S91" s="84">
        <v>500000.0</v>
      </c>
      <c r="T91" s="82" t="str">
        <f t="shared" si="3"/>
        <v/>
      </c>
      <c r="U91" s="83">
        <f t="shared" si="4"/>
        <v>0</v>
      </c>
      <c r="V91" s="83">
        <f t="shared" si="5"/>
        <v>0</v>
      </c>
      <c r="W91" s="83">
        <f t="shared" si="6"/>
        <v>0</v>
      </c>
      <c r="X91" s="78" t="s">
        <v>821</v>
      </c>
      <c r="Y91" s="78"/>
    </row>
    <row r="92" ht="15.75" customHeight="1">
      <c r="A92" s="78"/>
      <c r="B92" s="79"/>
      <c r="C92" s="78"/>
      <c r="D92" s="78"/>
      <c r="E92" s="78"/>
      <c r="F92" s="78"/>
      <c r="G92" s="81"/>
      <c r="H92" s="84"/>
      <c r="I92" s="82" t="str">
        <f t="shared" si="1"/>
        <v/>
      </c>
      <c r="J92" s="84"/>
      <c r="K92" s="78"/>
      <c r="L92" s="78"/>
      <c r="M92" s="78"/>
      <c r="N92" s="78"/>
      <c r="O92" s="78"/>
      <c r="P92" s="78"/>
      <c r="Q92" s="78"/>
      <c r="R92" s="82" t="str">
        <f t="shared" si="2"/>
        <v/>
      </c>
      <c r="S92" s="84">
        <v>500000.0</v>
      </c>
      <c r="T92" s="82" t="str">
        <f t="shared" si="3"/>
        <v/>
      </c>
      <c r="U92" s="83">
        <f t="shared" si="4"/>
        <v>0</v>
      </c>
      <c r="V92" s="83">
        <f t="shared" si="5"/>
        <v>0</v>
      </c>
      <c r="W92" s="83">
        <f t="shared" si="6"/>
        <v>0</v>
      </c>
      <c r="X92" s="78" t="s">
        <v>821</v>
      </c>
      <c r="Y92" s="78"/>
    </row>
    <row r="93" ht="15.75" customHeight="1">
      <c r="A93" s="78"/>
      <c r="B93" s="79"/>
      <c r="C93" s="78"/>
      <c r="D93" s="78"/>
      <c r="E93" s="78"/>
      <c r="F93" s="78"/>
      <c r="G93" s="81"/>
      <c r="H93" s="84"/>
      <c r="I93" s="82" t="str">
        <f t="shared" si="1"/>
        <v/>
      </c>
      <c r="J93" s="84"/>
      <c r="K93" s="78"/>
      <c r="L93" s="78"/>
      <c r="M93" s="78"/>
      <c r="N93" s="78"/>
      <c r="O93" s="78"/>
      <c r="P93" s="78"/>
      <c r="Q93" s="78"/>
      <c r="R93" s="82" t="str">
        <f t="shared" si="2"/>
        <v/>
      </c>
      <c r="S93" s="84">
        <v>500000.0</v>
      </c>
      <c r="T93" s="82" t="str">
        <f t="shared" si="3"/>
        <v/>
      </c>
      <c r="U93" s="83">
        <f t="shared" si="4"/>
        <v>0</v>
      </c>
      <c r="V93" s="83">
        <f t="shared" si="5"/>
        <v>0</v>
      </c>
      <c r="W93" s="83">
        <f t="shared" si="6"/>
        <v>0</v>
      </c>
      <c r="X93" s="78" t="s">
        <v>821</v>
      </c>
      <c r="Y93" s="78"/>
    </row>
    <row r="94" ht="15.75" customHeight="1">
      <c r="A94" s="78"/>
      <c r="B94" s="79"/>
      <c r="C94" s="78"/>
      <c r="D94" s="78"/>
      <c r="E94" s="78"/>
      <c r="F94" s="78"/>
      <c r="G94" s="81"/>
      <c r="H94" s="84"/>
      <c r="I94" s="82" t="str">
        <f t="shared" si="1"/>
        <v/>
      </c>
      <c r="J94" s="84"/>
      <c r="K94" s="78"/>
      <c r="L94" s="78"/>
      <c r="M94" s="78"/>
      <c r="N94" s="78"/>
      <c r="O94" s="78"/>
      <c r="P94" s="78"/>
      <c r="Q94" s="78"/>
      <c r="R94" s="82" t="str">
        <f t="shared" si="2"/>
        <v/>
      </c>
      <c r="S94" s="84">
        <v>500000.0</v>
      </c>
      <c r="T94" s="82" t="str">
        <f t="shared" si="3"/>
        <v/>
      </c>
      <c r="U94" s="83">
        <f t="shared" si="4"/>
        <v>0</v>
      </c>
      <c r="V94" s="83">
        <f t="shared" si="5"/>
        <v>0</v>
      </c>
      <c r="W94" s="83">
        <f t="shared" si="6"/>
        <v>0</v>
      </c>
      <c r="X94" s="78" t="s">
        <v>821</v>
      </c>
      <c r="Y94" s="78"/>
    </row>
    <row r="95" ht="15.75" customHeight="1">
      <c r="A95" s="78"/>
      <c r="B95" s="79"/>
      <c r="C95" s="78"/>
      <c r="D95" s="78"/>
      <c r="E95" s="78"/>
      <c r="F95" s="78"/>
      <c r="G95" s="81"/>
      <c r="H95" s="84"/>
      <c r="I95" s="82" t="str">
        <f t="shared" si="1"/>
        <v/>
      </c>
      <c r="J95" s="84"/>
      <c r="K95" s="78"/>
      <c r="L95" s="78"/>
      <c r="M95" s="78"/>
      <c r="N95" s="78"/>
      <c r="O95" s="78"/>
      <c r="P95" s="78"/>
      <c r="Q95" s="78"/>
      <c r="R95" s="82" t="str">
        <f t="shared" si="2"/>
        <v/>
      </c>
      <c r="S95" s="84">
        <v>500000.0</v>
      </c>
      <c r="T95" s="82" t="str">
        <f t="shared" si="3"/>
        <v/>
      </c>
      <c r="U95" s="83">
        <f t="shared" si="4"/>
        <v>0</v>
      </c>
      <c r="V95" s="83">
        <f t="shared" si="5"/>
        <v>0</v>
      </c>
      <c r="W95" s="83">
        <f t="shared" si="6"/>
        <v>0</v>
      </c>
      <c r="X95" s="78" t="s">
        <v>821</v>
      </c>
      <c r="Y95" s="78"/>
    </row>
    <row r="96" ht="15.75" customHeight="1">
      <c r="A96" s="78"/>
      <c r="B96" s="79"/>
      <c r="C96" s="78"/>
      <c r="D96" s="78"/>
      <c r="E96" s="78"/>
      <c r="F96" s="78"/>
      <c r="G96" s="81"/>
      <c r="H96" s="84"/>
      <c r="I96" s="82" t="str">
        <f t="shared" si="1"/>
        <v/>
      </c>
      <c r="J96" s="84"/>
      <c r="K96" s="78"/>
      <c r="L96" s="78"/>
      <c r="M96" s="78"/>
      <c r="N96" s="78"/>
      <c r="O96" s="78"/>
      <c r="P96" s="78"/>
      <c r="Q96" s="78"/>
      <c r="R96" s="82" t="str">
        <f t="shared" si="2"/>
        <v/>
      </c>
      <c r="S96" s="84">
        <v>500000.0</v>
      </c>
      <c r="T96" s="82" t="str">
        <f t="shared" si="3"/>
        <v/>
      </c>
      <c r="U96" s="83">
        <f t="shared" si="4"/>
        <v>0</v>
      </c>
      <c r="V96" s="83">
        <f t="shared" si="5"/>
        <v>0</v>
      </c>
      <c r="W96" s="83">
        <f t="shared" si="6"/>
        <v>0</v>
      </c>
      <c r="X96" s="78" t="s">
        <v>821</v>
      </c>
      <c r="Y96" s="78"/>
    </row>
    <row r="97" ht="15.75" customHeight="1">
      <c r="A97" s="78"/>
      <c r="B97" s="79"/>
      <c r="C97" s="78"/>
      <c r="D97" s="78"/>
      <c r="E97" s="78"/>
      <c r="F97" s="78"/>
      <c r="G97" s="81"/>
      <c r="H97" s="84"/>
      <c r="I97" s="82" t="str">
        <f t="shared" si="1"/>
        <v/>
      </c>
      <c r="J97" s="84"/>
      <c r="K97" s="78"/>
      <c r="L97" s="78"/>
      <c r="M97" s="78"/>
      <c r="N97" s="78"/>
      <c r="O97" s="78"/>
      <c r="P97" s="78"/>
      <c r="Q97" s="78"/>
      <c r="R97" s="82" t="str">
        <f t="shared" si="2"/>
        <v/>
      </c>
      <c r="S97" s="84">
        <v>500000.0</v>
      </c>
      <c r="T97" s="82" t="str">
        <f t="shared" si="3"/>
        <v/>
      </c>
      <c r="U97" s="83">
        <f t="shared" si="4"/>
        <v>0</v>
      </c>
      <c r="V97" s="83">
        <f t="shared" si="5"/>
        <v>0</v>
      </c>
      <c r="W97" s="83">
        <f t="shared" si="6"/>
        <v>0</v>
      </c>
      <c r="X97" s="78" t="s">
        <v>821</v>
      </c>
      <c r="Y97" s="78"/>
    </row>
    <row r="98" ht="15.75" customHeight="1">
      <c r="A98" s="78"/>
      <c r="B98" s="79"/>
      <c r="C98" s="78"/>
      <c r="D98" s="78"/>
      <c r="E98" s="78"/>
      <c r="F98" s="78"/>
      <c r="G98" s="81"/>
      <c r="H98" s="84"/>
      <c r="I98" s="82" t="str">
        <f t="shared" si="1"/>
        <v/>
      </c>
      <c r="J98" s="84"/>
      <c r="K98" s="78"/>
      <c r="L98" s="78"/>
      <c r="M98" s="78"/>
      <c r="N98" s="78"/>
      <c r="O98" s="78"/>
      <c r="P98" s="78"/>
      <c r="Q98" s="78"/>
      <c r="R98" s="82" t="str">
        <f t="shared" si="2"/>
        <v/>
      </c>
      <c r="S98" s="84">
        <v>500000.0</v>
      </c>
      <c r="T98" s="82" t="str">
        <f t="shared" si="3"/>
        <v/>
      </c>
      <c r="U98" s="83">
        <f t="shared" si="4"/>
        <v>0</v>
      </c>
      <c r="V98" s="83">
        <f t="shared" si="5"/>
        <v>0</v>
      </c>
      <c r="W98" s="83">
        <f t="shared" si="6"/>
        <v>0</v>
      </c>
      <c r="X98" s="78" t="s">
        <v>821</v>
      </c>
      <c r="Y98" s="78"/>
    </row>
    <row r="99" ht="15.75" customHeight="1">
      <c r="A99" s="78"/>
      <c r="B99" s="79"/>
      <c r="C99" s="78"/>
      <c r="D99" s="78"/>
      <c r="E99" s="78"/>
      <c r="F99" s="78"/>
      <c r="G99" s="81"/>
      <c r="H99" s="84"/>
      <c r="I99" s="82" t="str">
        <f t="shared" si="1"/>
        <v/>
      </c>
      <c r="J99" s="84"/>
      <c r="K99" s="78"/>
      <c r="L99" s="78"/>
      <c r="M99" s="78"/>
      <c r="N99" s="78"/>
      <c r="O99" s="78"/>
      <c r="P99" s="78"/>
      <c r="Q99" s="78"/>
      <c r="R99" s="82" t="str">
        <f t="shared" si="2"/>
        <v/>
      </c>
      <c r="S99" s="84">
        <v>500000.0</v>
      </c>
      <c r="T99" s="82" t="str">
        <f t="shared" si="3"/>
        <v/>
      </c>
      <c r="U99" s="83">
        <f t="shared" si="4"/>
        <v>0</v>
      </c>
      <c r="V99" s="83">
        <f t="shared" si="5"/>
        <v>0</v>
      </c>
      <c r="W99" s="83">
        <f t="shared" si="6"/>
        <v>0</v>
      </c>
      <c r="X99" s="78" t="s">
        <v>821</v>
      </c>
      <c r="Y99" s="78"/>
    </row>
    <row r="100" ht="15.75" customHeight="1">
      <c r="A100" s="78"/>
      <c r="B100" s="79"/>
      <c r="C100" s="78"/>
      <c r="D100" s="78"/>
      <c r="E100" s="78"/>
      <c r="F100" s="78"/>
      <c r="G100" s="81"/>
      <c r="H100" s="84"/>
      <c r="I100" s="82" t="str">
        <f t="shared" si="1"/>
        <v/>
      </c>
      <c r="J100" s="84"/>
      <c r="K100" s="78"/>
      <c r="L100" s="78"/>
      <c r="M100" s="78"/>
      <c r="N100" s="78"/>
      <c r="O100" s="78"/>
      <c r="P100" s="78"/>
      <c r="Q100" s="78"/>
      <c r="R100" s="82" t="str">
        <f t="shared" si="2"/>
        <v/>
      </c>
      <c r="S100" s="84">
        <v>500000.0</v>
      </c>
      <c r="T100" s="82" t="str">
        <f t="shared" si="3"/>
        <v/>
      </c>
      <c r="U100" s="83">
        <f t="shared" si="4"/>
        <v>0</v>
      </c>
      <c r="V100" s="83">
        <f t="shared" si="5"/>
        <v>0</v>
      </c>
      <c r="W100" s="83">
        <f t="shared" si="6"/>
        <v>0</v>
      </c>
      <c r="X100" s="78" t="s">
        <v>821</v>
      </c>
      <c r="Y100" s="78"/>
    </row>
    <row r="101" ht="15.75" customHeight="1">
      <c r="A101" s="78"/>
      <c r="B101" s="79"/>
      <c r="C101" s="78"/>
      <c r="D101" s="78"/>
      <c r="E101" s="78"/>
      <c r="F101" s="78"/>
      <c r="G101" s="81"/>
      <c r="H101" s="84"/>
      <c r="I101" s="82" t="str">
        <f t="shared" si="1"/>
        <v/>
      </c>
      <c r="J101" s="84"/>
      <c r="K101" s="78"/>
      <c r="L101" s="78"/>
      <c r="M101" s="78"/>
      <c r="N101" s="78"/>
      <c r="O101" s="78"/>
      <c r="P101" s="78"/>
      <c r="Q101" s="78"/>
      <c r="R101" s="82" t="str">
        <f t="shared" si="2"/>
        <v/>
      </c>
      <c r="S101" s="84">
        <v>500000.0</v>
      </c>
      <c r="T101" s="82" t="str">
        <f t="shared" si="3"/>
        <v/>
      </c>
      <c r="U101" s="83">
        <f t="shared" si="4"/>
        <v>0</v>
      </c>
      <c r="V101" s="83">
        <f t="shared" si="5"/>
        <v>0</v>
      </c>
      <c r="W101" s="83">
        <f t="shared" si="6"/>
        <v>0</v>
      </c>
      <c r="X101" s="78" t="s">
        <v>821</v>
      </c>
      <c r="Y101" s="78"/>
    </row>
    <row r="102" ht="15.75" customHeight="1">
      <c r="A102" s="78"/>
      <c r="B102" s="79"/>
      <c r="C102" s="78"/>
      <c r="D102" s="78"/>
      <c r="E102" s="78"/>
      <c r="F102" s="78"/>
      <c r="G102" s="81"/>
      <c r="H102" s="84"/>
      <c r="I102" s="82" t="str">
        <f t="shared" si="1"/>
        <v/>
      </c>
      <c r="J102" s="84"/>
      <c r="K102" s="78"/>
      <c r="L102" s="78"/>
      <c r="M102" s="78"/>
      <c r="N102" s="78"/>
      <c r="O102" s="78"/>
      <c r="P102" s="78"/>
      <c r="Q102" s="78"/>
      <c r="R102" s="82" t="str">
        <f t="shared" si="2"/>
        <v/>
      </c>
      <c r="S102" s="84">
        <v>500000.0</v>
      </c>
      <c r="T102" s="82" t="str">
        <f t="shared" si="3"/>
        <v/>
      </c>
      <c r="U102" s="83">
        <f t="shared" si="4"/>
        <v>0</v>
      </c>
      <c r="V102" s="83">
        <f t="shared" si="5"/>
        <v>0</v>
      </c>
      <c r="W102" s="83">
        <f t="shared" si="6"/>
        <v>0</v>
      </c>
      <c r="X102" s="78" t="s">
        <v>821</v>
      </c>
      <c r="Y102" s="78"/>
    </row>
    <row r="103" ht="15.75" customHeight="1">
      <c r="A103" s="78"/>
      <c r="B103" s="79"/>
      <c r="C103" s="78"/>
      <c r="D103" s="78"/>
      <c r="E103" s="78"/>
      <c r="F103" s="78"/>
      <c r="G103" s="81"/>
      <c r="H103" s="84"/>
      <c r="I103" s="82" t="str">
        <f t="shared" si="1"/>
        <v/>
      </c>
      <c r="J103" s="84"/>
      <c r="K103" s="78"/>
      <c r="L103" s="78"/>
      <c r="M103" s="78"/>
      <c r="N103" s="78"/>
      <c r="O103" s="78"/>
      <c r="P103" s="78"/>
      <c r="Q103" s="78"/>
      <c r="R103" s="82" t="str">
        <f t="shared" si="2"/>
        <v/>
      </c>
      <c r="S103" s="84">
        <v>500000.0</v>
      </c>
      <c r="T103" s="82" t="str">
        <f t="shared" si="3"/>
        <v/>
      </c>
      <c r="U103" s="83">
        <f t="shared" si="4"/>
        <v>0</v>
      </c>
      <c r="V103" s="83">
        <f t="shared" si="5"/>
        <v>0</v>
      </c>
      <c r="W103" s="83">
        <f t="shared" si="6"/>
        <v>0</v>
      </c>
      <c r="X103" s="78" t="s">
        <v>821</v>
      </c>
      <c r="Y103" s="78"/>
    </row>
    <row r="104" ht="15.75" customHeight="1">
      <c r="A104" s="78"/>
      <c r="B104" s="79"/>
      <c r="C104" s="78"/>
      <c r="D104" s="78"/>
      <c r="E104" s="78"/>
      <c r="F104" s="78"/>
      <c r="G104" s="81"/>
      <c r="H104" s="84"/>
      <c r="I104" s="82" t="str">
        <f t="shared" si="1"/>
        <v/>
      </c>
      <c r="J104" s="84"/>
      <c r="K104" s="78"/>
      <c r="L104" s="78"/>
      <c r="M104" s="78"/>
      <c r="N104" s="78"/>
      <c r="O104" s="78"/>
      <c r="P104" s="78"/>
      <c r="Q104" s="78"/>
      <c r="R104" s="82" t="str">
        <f t="shared" si="2"/>
        <v/>
      </c>
      <c r="S104" s="84">
        <v>500000.0</v>
      </c>
      <c r="T104" s="82" t="str">
        <f t="shared" si="3"/>
        <v/>
      </c>
      <c r="U104" s="83">
        <f t="shared" si="4"/>
        <v>0</v>
      </c>
      <c r="V104" s="83">
        <f t="shared" si="5"/>
        <v>0</v>
      </c>
      <c r="W104" s="83">
        <f t="shared" si="6"/>
        <v>0</v>
      </c>
      <c r="X104" s="78" t="s">
        <v>821</v>
      </c>
      <c r="Y104" s="78"/>
    </row>
    <row r="105" ht="15.75" customHeight="1">
      <c r="A105" s="78"/>
      <c r="B105" s="79"/>
      <c r="C105" s="78"/>
      <c r="D105" s="78"/>
      <c r="E105" s="78"/>
      <c r="F105" s="78"/>
      <c r="G105" s="81"/>
      <c r="H105" s="84"/>
      <c r="I105" s="82" t="str">
        <f t="shared" si="1"/>
        <v/>
      </c>
      <c r="J105" s="84"/>
      <c r="K105" s="78"/>
      <c r="L105" s="78"/>
      <c r="M105" s="78"/>
      <c r="N105" s="78"/>
      <c r="O105" s="78"/>
      <c r="P105" s="78"/>
      <c r="Q105" s="78"/>
      <c r="R105" s="82" t="str">
        <f t="shared" si="2"/>
        <v/>
      </c>
      <c r="S105" s="84">
        <v>500000.0</v>
      </c>
      <c r="T105" s="82" t="str">
        <f t="shared" si="3"/>
        <v/>
      </c>
      <c r="U105" s="83">
        <f t="shared" si="4"/>
        <v>0</v>
      </c>
      <c r="V105" s="83">
        <f t="shared" si="5"/>
        <v>0</v>
      </c>
      <c r="W105" s="83">
        <f t="shared" si="6"/>
        <v>0</v>
      </c>
      <c r="X105" s="78" t="s">
        <v>821</v>
      </c>
      <c r="Y105" s="78"/>
    </row>
    <row r="106" ht="15.75" customHeight="1">
      <c r="A106" s="78"/>
      <c r="B106" s="79"/>
      <c r="C106" s="78"/>
      <c r="D106" s="78"/>
      <c r="E106" s="78"/>
      <c r="F106" s="78"/>
      <c r="G106" s="81"/>
      <c r="H106" s="84"/>
      <c r="I106" s="82" t="str">
        <f t="shared" si="1"/>
        <v/>
      </c>
      <c r="J106" s="84"/>
      <c r="K106" s="78"/>
      <c r="L106" s="78"/>
      <c r="M106" s="78"/>
      <c r="N106" s="78"/>
      <c r="O106" s="78"/>
      <c r="P106" s="78"/>
      <c r="Q106" s="78"/>
      <c r="R106" s="82" t="str">
        <f t="shared" si="2"/>
        <v/>
      </c>
      <c r="S106" s="84">
        <v>500000.0</v>
      </c>
      <c r="T106" s="82" t="str">
        <f t="shared" si="3"/>
        <v/>
      </c>
      <c r="U106" s="83">
        <f t="shared" si="4"/>
        <v>0</v>
      </c>
      <c r="V106" s="83">
        <f t="shared" si="5"/>
        <v>0</v>
      </c>
      <c r="W106" s="83">
        <f t="shared" si="6"/>
        <v>0</v>
      </c>
      <c r="X106" s="78" t="s">
        <v>821</v>
      </c>
      <c r="Y106" s="78"/>
    </row>
    <row r="107" ht="15.75" customHeight="1">
      <c r="A107" s="78"/>
      <c r="B107" s="79"/>
      <c r="C107" s="78"/>
      <c r="D107" s="78"/>
      <c r="E107" s="78"/>
      <c r="F107" s="78"/>
      <c r="G107" s="81"/>
      <c r="H107" s="84"/>
      <c r="I107" s="82" t="str">
        <f t="shared" si="1"/>
        <v/>
      </c>
      <c r="J107" s="84"/>
      <c r="K107" s="78"/>
      <c r="L107" s="78"/>
      <c r="M107" s="78"/>
      <c r="N107" s="78"/>
      <c r="O107" s="78"/>
      <c r="P107" s="78"/>
      <c r="Q107" s="78"/>
      <c r="R107" s="82" t="str">
        <f t="shared" si="2"/>
        <v/>
      </c>
      <c r="S107" s="84">
        <v>500000.0</v>
      </c>
      <c r="T107" s="82" t="str">
        <f t="shared" si="3"/>
        <v/>
      </c>
      <c r="U107" s="83">
        <f t="shared" si="4"/>
        <v>0</v>
      </c>
      <c r="V107" s="83">
        <f t="shared" si="5"/>
        <v>0</v>
      </c>
      <c r="W107" s="83">
        <f t="shared" si="6"/>
        <v>0</v>
      </c>
      <c r="X107" s="78" t="s">
        <v>821</v>
      </c>
      <c r="Y107" s="78"/>
    </row>
    <row r="108" ht="15.75" customHeight="1">
      <c r="A108" s="78"/>
      <c r="B108" s="79"/>
      <c r="C108" s="78"/>
      <c r="D108" s="78"/>
      <c r="E108" s="78"/>
      <c r="F108" s="78"/>
      <c r="G108" s="81"/>
      <c r="H108" s="84"/>
      <c r="I108" s="82" t="str">
        <f t="shared" si="1"/>
        <v/>
      </c>
      <c r="J108" s="84"/>
      <c r="K108" s="78"/>
      <c r="L108" s="78"/>
      <c r="M108" s="78"/>
      <c r="N108" s="78"/>
      <c r="O108" s="78"/>
      <c r="P108" s="78"/>
      <c r="Q108" s="78"/>
      <c r="R108" s="82" t="str">
        <f t="shared" si="2"/>
        <v/>
      </c>
      <c r="S108" s="84">
        <v>500000.0</v>
      </c>
      <c r="T108" s="82" t="str">
        <f t="shared" si="3"/>
        <v/>
      </c>
      <c r="U108" s="83">
        <f t="shared" si="4"/>
        <v>0</v>
      </c>
      <c r="V108" s="83">
        <f t="shared" si="5"/>
        <v>0</v>
      </c>
      <c r="W108" s="83">
        <f t="shared" si="6"/>
        <v>0</v>
      </c>
      <c r="X108" s="78" t="s">
        <v>821</v>
      </c>
      <c r="Y108" s="78"/>
    </row>
    <row r="109" ht="15.75" customHeight="1">
      <c r="A109" s="78"/>
      <c r="B109" s="79"/>
      <c r="C109" s="78"/>
      <c r="D109" s="78"/>
      <c r="E109" s="78"/>
      <c r="F109" s="78"/>
      <c r="G109" s="81"/>
      <c r="H109" s="84"/>
      <c r="I109" s="82" t="str">
        <f t="shared" si="1"/>
        <v/>
      </c>
      <c r="J109" s="84"/>
      <c r="K109" s="78"/>
      <c r="L109" s="78"/>
      <c r="M109" s="78"/>
      <c r="N109" s="78"/>
      <c r="O109" s="78"/>
      <c r="P109" s="78"/>
      <c r="Q109" s="78"/>
      <c r="R109" s="82" t="str">
        <f t="shared" si="2"/>
        <v/>
      </c>
      <c r="S109" s="84">
        <v>500000.0</v>
      </c>
      <c r="T109" s="82" t="str">
        <f t="shared" si="3"/>
        <v/>
      </c>
      <c r="U109" s="83">
        <f t="shared" si="4"/>
        <v>0</v>
      </c>
      <c r="V109" s="83">
        <f t="shared" si="5"/>
        <v>0</v>
      </c>
      <c r="W109" s="83">
        <f t="shared" si="6"/>
        <v>0</v>
      </c>
      <c r="X109" s="78" t="s">
        <v>821</v>
      </c>
      <c r="Y109" s="78"/>
    </row>
    <row r="110" ht="15.75" customHeight="1">
      <c r="A110" s="78"/>
      <c r="B110" s="79"/>
      <c r="C110" s="78"/>
      <c r="D110" s="78"/>
      <c r="E110" s="78"/>
      <c r="F110" s="78"/>
      <c r="G110" s="81"/>
      <c r="H110" s="84"/>
      <c r="I110" s="82" t="str">
        <f t="shared" si="1"/>
        <v/>
      </c>
      <c r="J110" s="84"/>
      <c r="K110" s="78"/>
      <c r="L110" s="78"/>
      <c r="M110" s="78"/>
      <c r="N110" s="78"/>
      <c r="O110" s="78"/>
      <c r="P110" s="78"/>
      <c r="Q110" s="78"/>
      <c r="R110" s="82" t="str">
        <f t="shared" si="2"/>
        <v/>
      </c>
      <c r="S110" s="84">
        <v>500000.0</v>
      </c>
      <c r="T110" s="82" t="str">
        <f t="shared" si="3"/>
        <v/>
      </c>
      <c r="U110" s="83">
        <f t="shared" si="4"/>
        <v>0</v>
      </c>
      <c r="V110" s="83">
        <f t="shared" si="5"/>
        <v>0</v>
      </c>
      <c r="W110" s="83">
        <f t="shared" si="6"/>
        <v>0</v>
      </c>
      <c r="X110" s="78" t="s">
        <v>821</v>
      </c>
      <c r="Y110" s="78"/>
    </row>
    <row r="111" ht="15.75" customHeight="1">
      <c r="A111" s="78"/>
      <c r="B111" s="79"/>
      <c r="C111" s="78"/>
      <c r="D111" s="78"/>
      <c r="E111" s="78"/>
      <c r="F111" s="78"/>
      <c r="G111" s="81"/>
      <c r="H111" s="84"/>
      <c r="I111" s="82" t="str">
        <f t="shared" si="1"/>
        <v/>
      </c>
      <c r="J111" s="84"/>
      <c r="K111" s="78"/>
      <c r="L111" s="78"/>
      <c r="M111" s="78"/>
      <c r="N111" s="78"/>
      <c r="O111" s="78"/>
      <c r="P111" s="78"/>
      <c r="Q111" s="78"/>
      <c r="R111" s="82" t="str">
        <f t="shared" si="2"/>
        <v/>
      </c>
      <c r="S111" s="84">
        <v>500000.0</v>
      </c>
      <c r="T111" s="82" t="str">
        <f t="shared" si="3"/>
        <v/>
      </c>
      <c r="U111" s="83">
        <f t="shared" si="4"/>
        <v>0</v>
      </c>
      <c r="V111" s="83">
        <f t="shared" si="5"/>
        <v>0</v>
      </c>
      <c r="W111" s="83">
        <f t="shared" si="6"/>
        <v>0</v>
      </c>
      <c r="X111" s="78" t="s">
        <v>821</v>
      </c>
      <c r="Y111" s="78"/>
    </row>
    <row r="112" ht="15.75" customHeight="1">
      <c r="A112" s="78"/>
      <c r="B112" s="79"/>
      <c r="C112" s="78"/>
      <c r="D112" s="78"/>
      <c r="E112" s="78"/>
      <c r="F112" s="78"/>
      <c r="G112" s="81"/>
      <c r="H112" s="84"/>
      <c r="I112" s="82" t="str">
        <f t="shared" si="1"/>
        <v/>
      </c>
      <c r="J112" s="84"/>
      <c r="K112" s="78"/>
      <c r="L112" s="78"/>
      <c r="M112" s="78"/>
      <c r="N112" s="78"/>
      <c r="O112" s="78"/>
      <c r="P112" s="78"/>
      <c r="Q112" s="78"/>
      <c r="R112" s="82" t="str">
        <f t="shared" si="2"/>
        <v/>
      </c>
      <c r="S112" s="84">
        <v>500000.0</v>
      </c>
      <c r="T112" s="82" t="str">
        <f t="shared" si="3"/>
        <v/>
      </c>
      <c r="U112" s="83">
        <f t="shared" si="4"/>
        <v>0</v>
      </c>
      <c r="V112" s="83">
        <f t="shared" si="5"/>
        <v>0</v>
      </c>
      <c r="W112" s="83">
        <f t="shared" si="6"/>
        <v>0</v>
      </c>
      <c r="X112" s="78" t="s">
        <v>821</v>
      </c>
      <c r="Y112" s="78"/>
    </row>
    <row r="113" ht="15.75" customHeight="1">
      <c r="A113" s="78"/>
      <c r="B113" s="79"/>
      <c r="C113" s="78"/>
      <c r="D113" s="78"/>
      <c r="E113" s="78"/>
      <c r="F113" s="78"/>
      <c r="G113" s="81"/>
      <c r="H113" s="84"/>
      <c r="I113" s="82" t="str">
        <f t="shared" si="1"/>
        <v/>
      </c>
      <c r="J113" s="84"/>
      <c r="K113" s="78"/>
      <c r="L113" s="78"/>
      <c r="M113" s="78"/>
      <c r="N113" s="78"/>
      <c r="O113" s="78"/>
      <c r="P113" s="78"/>
      <c r="Q113" s="78"/>
      <c r="R113" s="82" t="str">
        <f t="shared" si="2"/>
        <v/>
      </c>
      <c r="S113" s="84">
        <v>500000.0</v>
      </c>
      <c r="T113" s="82" t="str">
        <f t="shared" si="3"/>
        <v/>
      </c>
      <c r="U113" s="83">
        <f t="shared" si="4"/>
        <v>0</v>
      </c>
      <c r="V113" s="83">
        <f t="shared" si="5"/>
        <v>0</v>
      </c>
      <c r="W113" s="83">
        <f t="shared" si="6"/>
        <v>0</v>
      </c>
      <c r="X113" s="78" t="s">
        <v>821</v>
      </c>
      <c r="Y113" s="78"/>
    </row>
    <row r="114" ht="15.75" customHeight="1">
      <c r="A114" s="78"/>
      <c r="B114" s="79"/>
      <c r="C114" s="78"/>
      <c r="D114" s="78"/>
      <c r="E114" s="78"/>
      <c r="F114" s="78"/>
      <c r="G114" s="81"/>
      <c r="H114" s="84"/>
      <c r="I114" s="82" t="str">
        <f t="shared" si="1"/>
        <v/>
      </c>
      <c r="J114" s="84"/>
      <c r="K114" s="78"/>
      <c r="L114" s="78"/>
      <c r="M114" s="78"/>
      <c r="N114" s="78"/>
      <c r="O114" s="78"/>
      <c r="P114" s="78"/>
      <c r="Q114" s="78"/>
      <c r="R114" s="82" t="str">
        <f t="shared" si="2"/>
        <v/>
      </c>
      <c r="S114" s="84">
        <v>500000.0</v>
      </c>
      <c r="T114" s="82" t="str">
        <f t="shared" si="3"/>
        <v/>
      </c>
      <c r="U114" s="83">
        <f t="shared" si="4"/>
        <v>0</v>
      </c>
      <c r="V114" s="83">
        <f t="shared" si="5"/>
        <v>0</v>
      </c>
      <c r="W114" s="83">
        <f t="shared" si="6"/>
        <v>0</v>
      </c>
      <c r="X114" s="78" t="s">
        <v>821</v>
      </c>
      <c r="Y114" s="78"/>
    </row>
    <row r="115" ht="15.75" customHeight="1">
      <c r="A115" s="78"/>
      <c r="B115" s="79"/>
      <c r="C115" s="78"/>
      <c r="D115" s="78"/>
      <c r="E115" s="78"/>
      <c r="F115" s="78"/>
      <c r="G115" s="81"/>
      <c r="H115" s="84"/>
      <c r="I115" s="82" t="str">
        <f t="shared" si="1"/>
        <v/>
      </c>
      <c r="J115" s="84"/>
      <c r="K115" s="78"/>
      <c r="L115" s="78"/>
      <c r="M115" s="78"/>
      <c r="N115" s="78"/>
      <c r="O115" s="78"/>
      <c r="P115" s="78"/>
      <c r="Q115" s="78"/>
      <c r="R115" s="82" t="str">
        <f t="shared" si="2"/>
        <v/>
      </c>
      <c r="S115" s="84">
        <v>500000.0</v>
      </c>
      <c r="T115" s="82" t="str">
        <f t="shared" si="3"/>
        <v/>
      </c>
      <c r="U115" s="83">
        <f t="shared" si="4"/>
        <v>0</v>
      </c>
      <c r="V115" s="83">
        <f t="shared" si="5"/>
        <v>0</v>
      </c>
      <c r="W115" s="83">
        <f t="shared" si="6"/>
        <v>0</v>
      </c>
      <c r="X115" s="78" t="s">
        <v>821</v>
      </c>
      <c r="Y115" s="78"/>
    </row>
    <row r="116" ht="15.75" customHeight="1">
      <c r="A116" s="78"/>
      <c r="B116" s="79"/>
      <c r="C116" s="78"/>
      <c r="D116" s="78"/>
      <c r="E116" s="78"/>
      <c r="F116" s="78"/>
      <c r="G116" s="81"/>
      <c r="H116" s="84"/>
      <c r="I116" s="82" t="str">
        <f t="shared" si="1"/>
        <v/>
      </c>
      <c r="J116" s="84"/>
      <c r="K116" s="78"/>
      <c r="L116" s="78"/>
      <c r="M116" s="78"/>
      <c r="N116" s="78"/>
      <c r="O116" s="78"/>
      <c r="P116" s="78"/>
      <c r="Q116" s="78"/>
      <c r="R116" s="82" t="str">
        <f t="shared" si="2"/>
        <v/>
      </c>
      <c r="S116" s="84">
        <v>500000.0</v>
      </c>
      <c r="T116" s="82" t="str">
        <f t="shared" si="3"/>
        <v/>
      </c>
      <c r="U116" s="83">
        <f t="shared" si="4"/>
        <v>0</v>
      </c>
      <c r="V116" s="83">
        <f t="shared" si="5"/>
        <v>0</v>
      </c>
      <c r="W116" s="83">
        <f t="shared" si="6"/>
        <v>0</v>
      </c>
      <c r="X116" s="78" t="s">
        <v>821</v>
      </c>
      <c r="Y116" s="78"/>
    </row>
    <row r="117" ht="15.75" customHeight="1">
      <c r="A117" s="78"/>
      <c r="B117" s="79"/>
      <c r="C117" s="78"/>
      <c r="D117" s="78"/>
      <c r="E117" s="78"/>
      <c r="F117" s="78"/>
      <c r="G117" s="81"/>
      <c r="H117" s="84"/>
      <c r="I117" s="82" t="str">
        <f t="shared" si="1"/>
        <v/>
      </c>
      <c r="J117" s="84"/>
      <c r="K117" s="78"/>
      <c r="L117" s="78"/>
      <c r="M117" s="78"/>
      <c r="N117" s="78"/>
      <c r="O117" s="78"/>
      <c r="P117" s="78"/>
      <c r="Q117" s="78"/>
      <c r="R117" s="82" t="str">
        <f t="shared" si="2"/>
        <v/>
      </c>
      <c r="S117" s="84">
        <v>500000.0</v>
      </c>
      <c r="T117" s="82" t="str">
        <f t="shared" si="3"/>
        <v/>
      </c>
      <c r="U117" s="83">
        <f t="shared" si="4"/>
        <v>0</v>
      </c>
      <c r="V117" s="83">
        <f t="shared" si="5"/>
        <v>0</v>
      </c>
      <c r="W117" s="83">
        <f t="shared" si="6"/>
        <v>0</v>
      </c>
      <c r="X117" s="78" t="s">
        <v>821</v>
      </c>
      <c r="Y117" s="78"/>
    </row>
    <row r="118" ht="15.75" customHeight="1">
      <c r="A118" s="78"/>
      <c r="B118" s="79"/>
      <c r="C118" s="78"/>
      <c r="D118" s="78"/>
      <c r="E118" s="78"/>
      <c r="F118" s="78"/>
      <c r="G118" s="81"/>
      <c r="H118" s="84"/>
      <c r="I118" s="82" t="str">
        <f t="shared" si="1"/>
        <v/>
      </c>
      <c r="J118" s="84"/>
      <c r="K118" s="78"/>
      <c r="L118" s="78"/>
      <c r="M118" s="78"/>
      <c r="N118" s="78"/>
      <c r="O118" s="78"/>
      <c r="P118" s="78"/>
      <c r="Q118" s="78"/>
      <c r="R118" s="82" t="str">
        <f t="shared" si="2"/>
        <v/>
      </c>
      <c r="S118" s="84">
        <v>500000.0</v>
      </c>
      <c r="T118" s="82" t="str">
        <f t="shared" si="3"/>
        <v/>
      </c>
      <c r="U118" s="83">
        <f t="shared" si="4"/>
        <v>0</v>
      </c>
      <c r="V118" s="83">
        <f t="shared" si="5"/>
        <v>0</v>
      </c>
      <c r="W118" s="83">
        <f t="shared" si="6"/>
        <v>0</v>
      </c>
      <c r="X118" s="78" t="s">
        <v>821</v>
      </c>
      <c r="Y118" s="78"/>
    </row>
    <row r="119" ht="15.75" customHeight="1">
      <c r="A119" s="78"/>
      <c r="B119" s="79"/>
      <c r="C119" s="78"/>
      <c r="D119" s="78"/>
      <c r="E119" s="78"/>
      <c r="F119" s="78"/>
      <c r="G119" s="81"/>
      <c r="H119" s="84"/>
      <c r="I119" s="82" t="str">
        <f t="shared" si="1"/>
        <v/>
      </c>
      <c r="J119" s="84"/>
      <c r="K119" s="78"/>
      <c r="L119" s="78"/>
      <c r="M119" s="78"/>
      <c r="N119" s="78"/>
      <c r="O119" s="78"/>
      <c r="P119" s="78"/>
      <c r="Q119" s="78"/>
      <c r="R119" s="82" t="str">
        <f t="shared" si="2"/>
        <v/>
      </c>
      <c r="S119" s="84">
        <v>500000.0</v>
      </c>
      <c r="T119" s="82" t="str">
        <f t="shared" si="3"/>
        <v/>
      </c>
      <c r="U119" s="83">
        <f t="shared" si="4"/>
        <v>0</v>
      </c>
      <c r="V119" s="83">
        <f t="shared" si="5"/>
        <v>0</v>
      </c>
      <c r="W119" s="83">
        <f t="shared" si="6"/>
        <v>0</v>
      </c>
      <c r="X119" s="78" t="s">
        <v>821</v>
      </c>
      <c r="Y119" s="78"/>
    </row>
    <row r="120" ht="15.75" customHeight="1">
      <c r="A120" s="78"/>
      <c r="B120" s="79"/>
      <c r="C120" s="78"/>
      <c r="D120" s="78"/>
      <c r="E120" s="78"/>
      <c r="F120" s="78"/>
      <c r="G120" s="81"/>
      <c r="H120" s="84"/>
      <c r="I120" s="82" t="str">
        <f t="shared" si="1"/>
        <v/>
      </c>
      <c r="J120" s="84"/>
      <c r="K120" s="78"/>
      <c r="L120" s="78"/>
      <c r="M120" s="78"/>
      <c r="N120" s="78"/>
      <c r="O120" s="78"/>
      <c r="P120" s="78"/>
      <c r="Q120" s="78"/>
      <c r="R120" s="82" t="str">
        <f t="shared" si="2"/>
        <v/>
      </c>
      <c r="S120" s="84">
        <v>500000.0</v>
      </c>
      <c r="T120" s="82" t="str">
        <f t="shared" si="3"/>
        <v/>
      </c>
      <c r="U120" s="83">
        <f t="shared" si="4"/>
        <v>0</v>
      </c>
      <c r="V120" s="83">
        <f t="shared" si="5"/>
        <v>0</v>
      </c>
      <c r="W120" s="83">
        <f t="shared" si="6"/>
        <v>0</v>
      </c>
      <c r="X120" s="78" t="s">
        <v>821</v>
      </c>
      <c r="Y120" s="78"/>
    </row>
    <row r="121" ht="15.75" customHeight="1">
      <c r="A121" s="78"/>
      <c r="B121" s="79"/>
      <c r="C121" s="78"/>
      <c r="D121" s="78"/>
      <c r="E121" s="78"/>
      <c r="F121" s="78"/>
      <c r="G121" s="81"/>
      <c r="H121" s="84"/>
      <c r="I121" s="82" t="str">
        <f t="shared" si="1"/>
        <v/>
      </c>
      <c r="J121" s="84"/>
      <c r="K121" s="78"/>
      <c r="L121" s="78"/>
      <c r="M121" s="78"/>
      <c r="N121" s="78"/>
      <c r="O121" s="78"/>
      <c r="P121" s="78"/>
      <c r="Q121" s="78"/>
      <c r="R121" s="82" t="str">
        <f t="shared" si="2"/>
        <v/>
      </c>
      <c r="S121" s="84">
        <v>500000.0</v>
      </c>
      <c r="T121" s="82" t="str">
        <f t="shared" si="3"/>
        <v/>
      </c>
      <c r="U121" s="83">
        <f t="shared" si="4"/>
        <v>0</v>
      </c>
      <c r="V121" s="83">
        <f t="shared" si="5"/>
        <v>0</v>
      </c>
      <c r="W121" s="83">
        <f t="shared" si="6"/>
        <v>0</v>
      </c>
      <c r="X121" s="78" t="s">
        <v>821</v>
      </c>
      <c r="Y121" s="78"/>
    </row>
    <row r="122" ht="15.75" customHeight="1">
      <c r="A122" s="78"/>
      <c r="B122" s="79"/>
      <c r="C122" s="78"/>
      <c r="D122" s="78"/>
      <c r="E122" s="78"/>
      <c r="F122" s="78"/>
      <c r="G122" s="81"/>
      <c r="H122" s="84"/>
      <c r="I122" s="82" t="str">
        <f t="shared" si="1"/>
        <v/>
      </c>
      <c r="J122" s="84"/>
      <c r="K122" s="78"/>
      <c r="L122" s="78"/>
      <c r="M122" s="78"/>
      <c r="N122" s="78"/>
      <c r="O122" s="78"/>
      <c r="P122" s="78"/>
      <c r="Q122" s="78"/>
      <c r="R122" s="82" t="str">
        <f t="shared" si="2"/>
        <v/>
      </c>
      <c r="S122" s="84">
        <v>500000.0</v>
      </c>
      <c r="T122" s="82" t="str">
        <f t="shared" si="3"/>
        <v/>
      </c>
      <c r="U122" s="83">
        <f t="shared" si="4"/>
        <v>0</v>
      </c>
      <c r="V122" s="83">
        <f t="shared" si="5"/>
        <v>0</v>
      </c>
      <c r="W122" s="83">
        <f t="shared" si="6"/>
        <v>0</v>
      </c>
      <c r="X122" s="78" t="s">
        <v>821</v>
      </c>
      <c r="Y122" s="78"/>
    </row>
    <row r="123" ht="15.75" customHeight="1">
      <c r="A123" s="78"/>
      <c r="B123" s="79"/>
      <c r="C123" s="78"/>
      <c r="D123" s="78"/>
      <c r="E123" s="78"/>
      <c r="F123" s="78"/>
      <c r="G123" s="81"/>
      <c r="H123" s="84"/>
      <c r="I123" s="82" t="str">
        <f t="shared" si="1"/>
        <v/>
      </c>
      <c r="J123" s="84"/>
      <c r="K123" s="78"/>
      <c r="L123" s="78"/>
      <c r="M123" s="78"/>
      <c r="N123" s="78"/>
      <c r="O123" s="78"/>
      <c r="P123" s="78"/>
      <c r="Q123" s="78"/>
      <c r="R123" s="82" t="str">
        <f t="shared" si="2"/>
        <v/>
      </c>
      <c r="S123" s="84">
        <v>500000.0</v>
      </c>
      <c r="T123" s="82" t="str">
        <f t="shared" si="3"/>
        <v/>
      </c>
      <c r="U123" s="83">
        <f t="shared" si="4"/>
        <v>0</v>
      </c>
      <c r="V123" s="83">
        <f t="shared" si="5"/>
        <v>0</v>
      </c>
      <c r="W123" s="83">
        <f t="shared" si="6"/>
        <v>0</v>
      </c>
      <c r="X123" s="78" t="s">
        <v>821</v>
      </c>
      <c r="Y123" s="78"/>
    </row>
    <row r="124" ht="15.75" customHeight="1">
      <c r="A124" s="78"/>
      <c r="B124" s="79"/>
      <c r="C124" s="78"/>
      <c r="D124" s="78"/>
      <c r="E124" s="78"/>
      <c r="F124" s="78"/>
      <c r="G124" s="81"/>
      <c r="H124" s="84"/>
      <c r="I124" s="82" t="str">
        <f t="shared" si="1"/>
        <v/>
      </c>
      <c r="J124" s="84"/>
      <c r="K124" s="78"/>
      <c r="L124" s="78"/>
      <c r="M124" s="78"/>
      <c r="N124" s="78"/>
      <c r="O124" s="78"/>
      <c r="P124" s="78"/>
      <c r="Q124" s="78"/>
      <c r="R124" s="82" t="str">
        <f t="shared" si="2"/>
        <v/>
      </c>
      <c r="S124" s="84">
        <v>500000.0</v>
      </c>
      <c r="T124" s="82" t="str">
        <f t="shared" si="3"/>
        <v/>
      </c>
      <c r="U124" s="83">
        <f t="shared" si="4"/>
        <v>0</v>
      </c>
      <c r="V124" s="83">
        <f t="shared" si="5"/>
        <v>0</v>
      </c>
      <c r="W124" s="83">
        <f t="shared" si="6"/>
        <v>0</v>
      </c>
      <c r="X124" s="78" t="s">
        <v>821</v>
      </c>
      <c r="Y124" s="78"/>
    </row>
    <row r="125" ht="15.75" customHeight="1">
      <c r="A125" s="78"/>
      <c r="B125" s="79"/>
      <c r="C125" s="78"/>
      <c r="D125" s="78"/>
      <c r="E125" s="78"/>
      <c r="F125" s="78"/>
      <c r="G125" s="81"/>
      <c r="H125" s="84"/>
      <c r="I125" s="82" t="str">
        <f t="shared" si="1"/>
        <v/>
      </c>
      <c r="J125" s="84"/>
      <c r="K125" s="78"/>
      <c r="L125" s="78"/>
      <c r="M125" s="78"/>
      <c r="N125" s="78"/>
      <c r="O125" s="78"/>
      <c r="P125" s="78"/>
      <c r="Q125" s="78"/>
      <c r="R125" s="82" t="str">
        <f t="shared" si="2"/>
        <v/>
      </c>
      <c r="S125" s="84">
        <v>500000.0</v>
      </c>
      <c r="T125" s="82" t="str">
        <f t="shared" si="3"/>
        <v/>
      </c>
      <c r="U125" s="83">
        <f t="shared" si="4"/>
        <v>0</v>
      </c>
      <c r="V125" s="83">
        <f t="shared" si="5"/>
        <v>0</v>
      </c>
      <c r="W125" s="83">
        <f t="shared" si="6"/>
        <v>0</v>
      </c>
      <c r="X125" s="78" t="s">
        <v>821</v>
      </c>
      <c r="Y125" s="78"/>
    </row>
    <row r="126" ht="15.75" customHeight="1">
      <c r="A126" s="78"/>
      <c r="B126" s="79"/>
      <c r="C126" s="78"/>
      <c r="D126" s="78"/>
      <c r="E126" s="78"/>
      <c r="F126" s="78"/>
      <c r="G126" s="81"/>
      <c r="H126" s="84"/>
      <c r="I126" s="82" t="str">
        <f t="shared" si="1"/>
        <v/>
      </c>
      <c r="J126" s="84"/>
      <c r="K126" s="78"/>
      <c r="L126" s="78"/>
      <c r="M126" s="78"/>
      <c r="N126" s="78"/>
      <c r="O126" s="78"/>
      <c r="P126" s="78"/>
      <c r="Q126" s="78"/>
      <c r="R126" s="82" t="str">
        <f t="shared" si="2"/>
        <v/>
      </c>
      <c r="S126" s="84">
        <v>500000.0</v>
      </c>
      <c r="T126" s="82" t="str">
        <f t="shared" si="3"/>
        <v/>
      </c>
      <c r="U126" s="83">
        <f t="shared" si="4"/>
        <v>0</v>
      </c>
      <c r="V126" s="83">
        <f t="shared" si="5"/>
        <v>0</v>
      </c>
      <c r="W126" s="83">
        <f t="shared" si="6"/>
        <v>0</v>
      </c>
      <c r="X126" s="78" t="s">
        <v>821</v>
      </c>
      <c r="Y126" s="78"/>
    </row>
    <row r="127" ht="15.75" customHeight="1">
      <c r="A127" s="78"/>
      <c r="B127" s="79"/>
      <c r="C127" s="78"/>
      <c r="D127" s="78"/>
      <c r="E127" s="78"/>
      <c r="F127" s="78"/>
      <c r="G127" s="81"/>
      <c r="H127" s="84"/>
      <c r="I127" s="82" t="str">
        <f t="shared" si="1"/>
        <v/>
      </c>
      <c r="J127" s="84"/>
      <c r="K127" s="78"/>
      <c r="L127" s="78"/>
      <c r="M127" s="78"/>
      <c r="N127" s="78"/>
      <c r="O127" s="78"/>
      <c r="P127" s="78"/>
      <c r="Q127" s="78"/>
      <c r="R127" s="82" t="str">
        <f t="shared" si="2"/>
        <v/>
      </c>
      <c r="S127" s="84">
        <v>500000.0</v>
      </c>
      <c r="T127" s="82" t="str">
        <f t="shared" si="3"/>
        <v/>
      </c>
      <c r="U127" s="83">
        <f t="shared" si="4"/>
        <v>0</v>
      </c>
      <c r="V127" s="83">
        <f t="shared" si="5"/>
        <v>0</v>
      </c>
      <c r="W127" s="83">
        <f t="shared" si="6"/>
        <v>0</v>
      </c>
      <c r="X127" s="78" t="s">
        <v>821</v>
      </c>
      <c r="Y127" s="78"/>
    </row>
    <row r="128" ht="15.75" customHeight="1">
      <c r="A128" s="78"/>
      <c r="B128" s="79"/>
      <c r="C128" s="78"/>
      <c r="D128" s="78"/>
      <c r="E128" s="78"/>
      <c r="F128" s="78"/>
      <c r="G128" s="81"/>
      <c r="H128" s="84"/>
      <c r="I128" s="82" t="str">
        <f t="shared" si="1"/>
        <v/>
      </c>
      <c r="J128" s="84"/>
      <c r="K128" s="78"/>
      <c r="L128" s="78"/>
      <c r="M128" s="78"/>
      <c r="N128" s="78"/>
      <c r="O128" s="78"/>
      <c r="P128" s="78"/>
      <c r="Q128" s="78"/>
      <c r="R128" s="82" t="str">
        <f t="shared" si="2"/>
        <v/>
      </c>
      <c r="S128" s="84">
        <v>500000.0</v>
      </c>
      <c r="T128" s="82" t="str">
        <f t="shared" si="3"/>
        <v/>
      </c>
      <c r="U128" s="83">
        <f t="shared" si="4"/>
        <v>0</v>
      </c>
      <c r="V128" s="83">
        <f t="shared" si="5"/>
        <v>0</v>
      </c>
      <c r="W128" s="83">
        <f t="shared" si="6"/>
        <v>0</v>
      </c>
      <c r="X128" s="78" t="s">
        <v>821</v>
      </c>
      <c r="Y128" s="78"/>
    </row>
    <row r="129" ht="15.75" customHeight="1">
      <c r="A129" s="78"/>
      <c r="B129" s="79"/>
      <c r="C129" s="78"/>
      <c r="D129" s="78"/>
      <c r="E129" s="78"/>
      <c r="F129" s="78"/>
      <c r="G129" s="81"/>
      <c r="H129" s="84"/>
      <c r="I129" s="82" t="str">
        <f t="shared" si="1"/>
        <v/>
      </c>
      <c r="J129" s="84"/>
      <c r="K129" s="78"/>
      <c r="L129" s="78"/>
      <c r="M129" s="78"/>
      <c r="N129" s="78"/>
      <c r="O129" s="78"/>
      <c r="P129" s="78"/>
      <c r="Q129" s="78"/>
      <c r="R129" s="82" t="str">
        <f t="shared" si="2"/>
        <v/>
      </c>
      <c r="S129" s="84">
        <v>500000.0</v>
      </c>
      <c r="T129" s="82" t="str">
        <f t="shared" si="3"/>
        <v/>
      </c>
      <c r="U129" s="83">
        <f t="shared" si="4"/>
        <v>0</v>
      </c>
      <c r="V129" s="83">
        <f t="shared" si="5"/>
        <v>0</v>
      </c>
      <c r="W129" s="83">
        <f t="shared" si="6"/>
        <v>0</v>
      </c>
      <c r="X129" s="78" t="s">
        <v>821</v>
      </c>
      <c r="Y129" s="78"/>
    </row>
    <row r="130" ht="15.75" customHeight="1">
      <c r="A130" s="78"/>
      <c r="B130" s="79"/>
      <c r="C130" s="78"/>
      <c r="D130" s="78"/>
      <c r="E130" s="78"/>
      <c r="F130" s="78"/>
      <c r="G130" s="81"/>
      <c r="H130" s="84"/>
      <c r="I130" s="82" t="str">
        <f t="shared" si="1"/>
        <v/>
      </c>
      <c r="J130" s="84"/>
      <c r="K130" s="78"/>
      <c r="L130" s="78"/>
      <c r="M130" s="78"/>
      <c r="N130" s="78"/>
      <c r="O130" s="78"/>
      <c r="P130" s="78"/>
      <c r="Q130" s="78"/>
      <c r="R130" s="82" t="str">
        <f t="shared" si="2"/>
        <v/>
      </c>
      <c r="S130" s="84">
        <v>500000.0</v>
      </c>
      <c r="T130" s="82" t="str">
        <f t="shared" si="3"/>
        <v/>
      </c>
      <c r="U130" s="83">
        <f t="shared" si="4"/>
        <v>0</v>
      </c>
      <c r="V130" s="83">
        <f t="shared" si="5"/>
        <v>0</v>
      </c>
      <c r="W130" s="83">
        <f t="shared" si="6"/>
        <v>0</v>
      </c>
      <c r="X130" s="78" t="s">
        <v>821</v>
      </c>
      <c r="Y130" s="78"/>
    </row>
    <row r="131" ht="15.75" customHeight="1">
      <c r="A131" s="78"/>
      <c r="B131" s="79"/>
      <c r="C131" s="78"/>
      <c r="D131" s="78"/>
      <c r="E131" s="78"/>
      <c r="F131" s="78"/>
      <c r="G131" s="81"/>
      <c r="H131" s="84"/>
      <c r="I131" s="82" t="str">
        <f t="shared" si="1"/>
        <v/>
      </c>
      <c r="J131" s="84"/>
      <c r="K131" s="78"/>
      <c r="L131" s="78"/>
      <c r="M131" s="78"/>
      <c r="N131" s="78"/>
      <c r="O131" s="78"/>
      <c r="P131" s="78"/>
      <c r="Q131" s="78"/>
      <c r="R131" s="82" t="str">
        <f t="shared" si="2"/>
        <v/>
      </c>
      <c r="S131" s="84">
        <v>500000.0</v>
      </c>
      <c r="T131" s="82" t="str">
        <f t="shared" si="3"/>
        <v/>
      </c>
      <c r="U131" s="83">
        <f t="shared" si="4"/>
        <v>0</v>
      </c>
      <c r="V131" s="83">
        <f t="shared" si="5"/>
        <v>0</v>
      </c>
      <c r="W131" s="83">
        <f t="shared" si="6"/>
        <v>0</v>
      </c>
      <c r="X131" s="78" t="s">
        <v>821</v>
      </c>
      <c r="Y131" s="78"/>
    </row>
    <row r="132" ht="15.75" customHeight="1">
      <c r="A132" s="78"/>
      <c r="B132" s="79"/>
      <c r="C132" s="78"/>
      <c r="D132" s="78"/>
      <c r="E132" s="78"/>
      <c r="F132" s="78"/>
      <c r="G132" s="81"/>
      <c r="H132" s="84"/>
      <c r="I132" s="82" t="str">
        <f t="shared" si="1"/>
        <v/>
      </c>
      <c r="J132" s="84"/>
      <c r="K132" s="78"/>
      <c r="L132" s="78"/>
      <c r="M132" s="78"/>
      <c r="N132" s="78"/>
      <c r="O132" s="78"/>
      <c r="P132" s="78"/>
      <c r="Q132" s="78"/>
      <c r="R132" s="82" t="str">
        <f t="shared" si="2"/>
        <v/>
      </c>
      <c r="S132" s="84">
        <v>500000.0</v>
      </c>
      <c r="T132" s="82" t="str">
        <f t="shared" si="3"/>
        <v/>
      </c>
      <c r="U132" s="83">
        <f t="shared" si="4"/>
        <v>0</v>
      </c>
      <c r="V132" s="83">
        <f t="shared" si="5"/>
        <v>0</v>
      </c>
      <c r="W132" s="83">
        <f t="shared" si="6"/>
        <v>0</v>
      </c>
      <c r="X132" s="78" t="s">
        <v>821</v>
      </c>
      <c r="Y132" s="78"/>
    </row>
    <row r="133" ht="15.75" customHeight="1">
      <c r="A133" s="78"/>
      <c r="B133" s="79"/>
      <c r="C133" s="78"/>
      <c r="D133" s="78"/>
      <c r="E133" s="78"/>
      <c r="F133" s="78"/>
      <c r="G133" s="81"/>
      <c r="H133" s="84"/>
      <c r="I133" s="82" t="str">
        <f t="shared" si="1"/>
        <v/>
      </c>
      <c r="J133" s="84"/>
      <c r="K133" s="78"/>
      <c r="L133" s="78"/>
      <c r="M133" s="78"/>
      <c r="N133" s="78"/>
      <c r="O133" s="78"/>
      <c r="P133" s="78"/>
      <c r="Q133" s="78"/>
      <c r="R133" s="82" t="str">
        <f t="shared" si="2"/>
        <v/>
      </c>
      <c r="S133" s="84">
        <v>500000.0</v>
      </c>
      <c r="T133" s="82" t="str">
        <f t="shared" si="3"/>
        <v/>
      </c>
      <c r="U133" s="83">
        <f t="shared" si="4"/>
        <v>0</v>
      </c>
      <c r="V133" s="83">
        <f t="shared" si="5"/>
        <v>0</v>
      </c>
      <c r="W133" s="83">
        <f t="shared" si="6"/>
        <v>0</v>
      </c>
      <c r="X133" s="78" t="s">
        <v>821</v>
      </c>
      <c r="Y133" s="78"/>
    </row>
    <row r="134" ht="15.75" customHeight="1">
      <c r="A134" s="78"/>
      <c r="B134" s="79"/>
      <c r="C134" s="78"/>
      <c r="D134" s="78"/>
      <c r="E134" s="78"/>
      <c r="F134" s="78"/>
      <c r="G134" s="81"/>
      <c r="H134" s="84"/>
      <c r="I134" s="82" t="str">
        <f t="shared" si="1"/>
        <v/>
      </c>
      <c r="J134" s="84"/>
      <c r="K134" s="78"/>
      <c r="L134" s="78"/>
      <c r="M134" s="78"/>
      <c r="N134" s="78"/>
      <c r="O134" s="78"/>
      <c r="P134" s="78"/>
      <c r="Q134" s="78"/>
      <c r="R134" s="82" t="str">
        <f t="shared" si="2"/>
        <v/>
      </c>
      <c r="S134" s="84">
        <v>500000.0</v>
      </c>
      <c r="T134" s="82" t="str">
        <f t="shared" si="3"/>
        <v/>
      </c>
      <c r="U134" s="83">
        <f t="shared" si="4"/>
        <v>0</v>
      </c>
      <c r="V134" s="83">
        <f t="shared" si="5"/>
        <v>0</v>
      </c>
      <c r="W134" s="83">
        <f t="shared" si="6"/>
        <v>0</v>
      </c>
      <c r="X134" s="78" t="s">
        <v>821</v>
      </c>
      <c r="Y134" s="78"/>
    </row>
    <row r="135" ht="15.75" customHeight="1">
      <c r="A135" s="78"/>
      <c r="B135" s="79"/>
      <c r="C135" s="78"/>
      <c r="D135" s="78"/>
      <c r="E135" s="78"/>
      <c r="F135" s="78"/>
      <c r="G135" s="81"/>
      <c r="H135" s="84"/>
      <c r="I135" s="82" t="str">
        <f t="shared" si="1"/>
        <v/>
      </c>
      <c r="J135" s="84"/>
      <c r="K135" s="78"/>
      <c r="L135" s="78"/>
      <c r="M135" s="78"/>
      <c r="N135" s="78"/>
      <c r="O135" s="78"/>
      <c r="P135" s="78"/>
      <c r="Q135" s="78"/>
      <c r="R135" s="82" t="str">
        <f t="shared" si="2"/>
        <v/>
      </c>
      <c r="S135" s="84">
        <v>500000.0</v>
      </c>
      <c r="T135" s="82" t="str">
        <f t="shared" si="3"/>
        <v/>
      </c>
      <c r="U135" s="83">
        <f t="shared" si="4"/>
        <v>0</v>
      </c>
      <c r="V135" s="83">
        <f t="shared" si="5"/>
        <v>0</v>
      </c>
      <c r="W135" s="83">
        <f t="shared" si="6"/>
        <v>0</v>
      </c>
      <c r="X135" s="78" t="s">
        <v>821</v>
      </c>
      <c r="Y135" s="78"/>
    </row>
    <row r="136" ht="15.75" customHeight="1">
      <c r="A136" s="78"/>
      <c r="B136" s="79"/>
      <c r="C136" s="78"/>
      <c r="D136" s="78"/>
      <c r="E136" s="78"/>
      <c r="F136" s="78"/>
      <c r="G136" s="81"/>
      <c r="H136" s="84"/>
      <c r="I136" s="82" t="str">
        <f t="shared" si="1"/>
        <v/>
      </c>
      <c r="J136" s="84"/>
      <c r="K136" s="78"/>
      <c r="L136" s="78"/>
      <c r="M136" s="78"/>
      <c r="N136" s="78"/>
      <c r="O136" s="78"/>
      <c r="P136" s="78"/>
      <c r="Q136" s="78"/>
      <c r="R136" s="82" t="str">
        <f t="shared" si="2"/>
        <v/>
      </c>
      <c r="S136" s="84">
        <v>500000.0</v>
      </c>
      <c r="T136" s="82" t="str">
        <f t="shared" si="3"/>
        <v/>
      </c>
      <c r="U136" s="83">
        <f t="shared" si="4"/>
        <v>0</v>
      </c>
      <c r="V136" s="83">
        <f t="shared" si="5"/>
        <v>0</v>
      </c>
      <c r="W136" s="83">
        <f t="shared" si="6"/>
        <v>0</v>
      </c>
      <c r="X136" s="78" t="s">
        <v>821</v>
      </c>
      <c r="Y136" s="78"/>
    </row>
    <row r="137" ht="15.75" customHeight="1">
      <c r="A137" s="78"/>
      <c r="B137" s="79"/>
      <c r="C137" s="78"/>
      <c r="D137" s="78"/>
      <c r="E137" s="78"/>
      <c r="F137" s="78"/>
      <c r="G137" s="81"/>
      <c r="H137" s="84"/>
      <c r="I137" s="82" t="str">
        <f t="shared" si="1"/>
        <v/>
      </c>
      <c r="J137" s="84"/>
      <c r="K137" s="78"/>
      <c r="L137" s="78"/>
      <c r="M137" s="78"/>
      <c r="N137" s="78"/>
      <c r="O137" s="78"/>
      <c r="P137" s="78"/>
      <c r="Q137" s="78"/>
      <c r="R137" s="82" t="str">
        <f t="shared" si="2"/>
        <v/>
      </c>
      <c r="S137" s="84">
        <v>500000.0</v>
      </c>
      <c r="T137" s="82" t="str">
        <f t="shared" si="3"/>
        <v/>
      </c>
      <c r="U137" s="83">
        <f t="shared" si="4"/>
        <v>0</v>
      </c>
      <c r="V137" s="83">
        <f t="shared" si="5"/>
        <v>0</v>
      </c>
      <c r="W137" s="83">
        <f t="shared" si="6"/>
        <v>0</v>
      </c>
      <c r="X137" s="78" t="s">
        <v>821</v>
      </c>
      <c r="Y137" s="78"/>
    </row>
    <row r="138" ht="15.75" customHeight="1">
      <c r="A138" s="78"/>
      <c r="B138" s="79"/>
      <c r="C138" s="78"/>
      <c r="D138" s="78"/>
      <c r="E138" s="78"/>
      <c r="F138" s="78"/>
      <c r="G138" s="81"/>
      <c r="H138" s="84"/>
      <c r="I138" s="82" t="str">
        <f t="shared" si="1"/>
        <v/>
      </c>
      <c r="J138" s="84"/>
      <c r="K138" s="78"/>
      <c r="L138" s="78"/>
      <c r="M138" s="78"/>
      <c r="N138" s="78"/>
      <c r="O138" s="78"/>
      <c r="P138" s="78"/>
      <c r="Q138" s="78"/>
      <c r="R138" s="82" t="str">
        <f t="shared" si="2"/>
        <v/>
      </c>
      <c r="S138" s="84">
        <v>500000.0</v>
      </c>
      <c r="T138" s="82" t="str">
        <f t="shared" si="3"/>
        <v/>
      </c>
      <c r="U138" s="83">
        <f t="shared" si="4"/>
        <v>0</v>
      </c>
      <c r="V138" s="83">
        <f t="shared" si="5"/>
        <v>0</v>
      </c>
      <c r="W138" s="83">
        <f t="shared" si="6"/>
        <v>0</v>
      </c>
      <c r="X138" s="78" t="s">
        <v>821</v>
      </c>
      <c r="Y138" s="78"/>
    </row>
    <row r="139" ht="15.75" customHeight="1">
      <c r="A139" s="78"/>
      <c r="B139" s="79"/>
      <c r="C139" s="78"/>
      <c r="D139" s="78"/>
      <c r="E139" s="78"/>
      <c r="F139" s="78"/>
      <c r="G139" s="81"/>
      <c r="H139" s="84"/>
      <c r="I139" s="82" t="str">
        <f t="shared" si="1"/>
        <v/>
      </c>
      <c r="J139" s="84"/>
      <c r="K139" s="78"/>
      <c r="L139" s="78"/>
      <c r="M139" s="78"/>
      <c r="N139" s="78"/>
      <c r="O139" s="78"/>
      <c r="P139" s="78"/>
      <c r="Q139" s="78"/>
      <c r="R139" s="82" t="str">
        <f t="shared" si="2"/>
        <v/>
      </c>
      <c r="S139" s="84">
        <v>500000.0</v>
      </c>
      <c r="T139" s="82" t="str">
        <f t="shared" si="3"/>
        <v/>
      </c>
      <c r="U139" s="83">
        <f t="shared" si="4"/>
        <v>0</v>
      </c>
      <c r="V139" s="83">
        <f t="shared" si="5"/>
        <v>0</v>
      </c>
      <c r="W139" s="83">
        <f t="shared" si="6"/>
        <v>0</v>
      </c>
      <c r="X139" s="78" t="s">
        <v>821</v>
      </c>
      <c r="Y139" s="78"/>
    </row>
    <row r="140" ht="15.75" customHeight="1">
      <c r="A140" s="78"/>
      <c r="B140" s="79"/>
      <c r="C140" s="78"/>
      <c r="D140" s="78"/>
      <c r="E140" s="78"/>
      <c r="F140" s="78"/>
      <c r="G140" s="81"/>
      <c r="H140" s="84"/>
      <c r="I140" s="82" t="str">
        <f t="shared" si="1"/>
        <v/>
      </c>
      <c r="J140" s="84"/>
      <c r="K140" s="78"/>
      <c r="L140" s="78"/>
      <c r="M140" s="78"/>
      <c r="N140" s="78"/>
      <c r="O140" s="78"/>
      <c r="P140" s="78"/>
      <c r="Q140" s="78"/>
      <c r="R140" s="82" t="str">
        <f t="shared" si="2"/>
        <v/>
      </c>
      <c r="S140" s="84">
        <v>500000.0</v>
      </c>
      <c r="T140" s="82" t="str">
        <f t="shared" si="3"/>
        <v/>
      </c>
      <c r="U140" s="83">
        <f t="shared" si="4"/>
        <v>0</v>
      </c>
      <c r="V140" s="83">
        <f t="shared" si="5"/>
        <v>0</v>
      </c>
      <c r="W140" s="83">
        <f t="shared" si="6"/>
        <v>0</v>
      </c>
      <c r="X140" s="78" t="s">
        <v>821</v>
      </c>
      <c r="Y140" s="78"/>
    </row>
    <row r="141" ht="15.75" customHeight="1">
      <c r="A141" s="78"/>
      <c r="B141" s="79"/>
      <c r="C141" s="78"/>
      <c r="D141" s="78"/>
      <c r="E141" s="78"/>
      <c r="F141" s="78"/>
      <c r="G141" s="81"/>
      <c r="H141" s="84"/>
      <c r="I141" s="82" t="str">
        <f t="shared" si="1"/>
        <v/>
      </c>
      <c r="J141" s="84"/>
      <c r="K141" s="78"/>
      <c r="L141" s="78"/>
      <c r="M141" s="78"/>
      <c r="N141" s="78"/>
      <c r="O141" s="78"/>
      <c r="P141" s="78"/>
      <c r="Q141" s="78"/>
      <c r="R141" s="82" t="str">
        <f t="shared" si="2"/>
        <v/>
      </c>
      <c r="S141" s="84">
        <v>500000.0</v>
      </c>
      <c r="T141" s="82" t="str">
        <f t="shared" si="3"/>
        <v/>
      </c>
      <c r="U141" s="83">
        <f t="shared" si="4"/>
        <v>0</v>
      </c>
      <c r="V141" s="83">
        <f t="shared" si="5"/>
        <v>0</v>
      </c>
      <c r="W141" s="83">
        <f t="shared" si="6"/>
        <v>0</v>
      </c>
      <c r="X141" s="78" t="s">
        <v>821</v>
      </c>
      <c r="Y141" s="78"/>
    </row>
    <row r="142" ht="15.75" customHeight="1">
      <c r="A142" s="78"/>
      <c r="B142" s="79"/>
      <c r="C142" s="78"/>
      <c r="D142" s="78"/>
      <c r="E142" s="78"/>
      <c r="F142" s="78"/>
      <c r="G142" s="81"/>
      <c r="H142" s="84"/>
      <c r="I142" s="82" t="str">
        <f t="shared" si="1"/>
        <v/>
      </c>
      <c r="J142" s="84"/>
      <c r="K142" s="78"/>
      <c r="L142" s="78"/>
      <c r="M142" s="78"/>
      <c r="N142" s="78"/>
      <c r="O142" s="78"/>
      <c r="P142" s="78"/>
      <c r="Q142" s="78"/>
      <c r="R142" s="82" t="str">
        <f t="shared" si="2"/>
        <v/>
      </c>
      <c r="S142" s="84">
        <v>500000.0</v>
      </c>
      <c r="T142" s="82" t="str">
        <f t="shared" si="3"/>
        <v/>
      </c>
      <c r="U142" s="83">
        <f t="shared" si="4"/>
        <v>0</v>
      </c>
      <c r="V142" s="83">
        <f t="shared" si="5"/>
        <v>0</v>
      </c>
      <c r="W142" s="83">
        <f t="shared" si="6"/>
        <v>0</v>
      </c>
      <c r="X142" s="78" t="s">
        <v>821</v>
      </c>
      <c r="Y142" s="78"/>
    </row>
    <row r="143" ht="15.75" customHeight="1">
      <c r="A143" s="78"/>
      <c r="B143" s="79"/>
      <c r="C143" s="78"/>
      <c r="D143" s="78"/>
      <c r="E143" s="78"/>
      <c r="F143" s="78"/>
      <c r="G143" s="81"/>
      <c r="H143" s="84"/>
      <c r="I143" s="82" t="str">
        <f t="shared" si="1"/>
        <v/>
      </c>
      <c r="J143" s="84"/>
      <c r="K143" s="78"/>
      <c r="L143" s="78"/>
      <c r="M143" s="78"/>
      <c r="N143" s="78"/>
      <c r="O143" s="78"/>
      <c r="P143" s="78"/>
      <c r="Q143" s="78"/>
      <c r="R143" s="82" t="str">
        <f t="shared" si="2"/>
        <v/>
      </c>
      <c r="S143" s="84">
        <v>500000.0</v>
      </c>
      <c r="T143" s="82" t="str">
        <f t="shared" si="3"/>
        <v/>
      </c>
      <c r="U143" s="83">
        <f t="shared" si="4"/>
        <v>0</v>
      </c>
      <c r="V143" s="83">
        <f t="shared" si="5"/>
        <v>0</v>
      </c>
      <c r="W143" s="83">
        <f t="shared" si="6"/>
        <v>0</v>
      </c>
      <c r="X143" s="78" t="s">
        <v>821</v>
      </c>
      <c r="Y143" s="78"/>
    </row>
    <row r="144" ht="15.75" customHeight="1">
      <c r="A144" s="78"/>
      <c r="B144" s="79"/>
      <c r="C144" s="78"/>
      <c r="D144" s="78"/>
      <c r="E144" s="78"/>
      <c r="F144" s="78"/>
      <c r="G144" s="81"/>
      <c r="H144" s="84"/>
      <c r="I144" s="82" t="str">
        <f t="shared" si="1"/>
        <v/>
      </c>
      <c r="J144" s="84"/>
      <c r="K144" s="78"/>
      <c r="L144" s="78"/>
      <c r="M144" s="78"/>
      <c r="N144" s="78"/>
      <c r="O144" s="78"/>
      <c r="P144" s="78"/>
      <c r="Q144" s="78"/>
      <c r="R144" s="82" t="str">
        <f t="shared" si="2"/>
        <v/>
      </c>
      <c r="S144" s="84">
        <v>500000.0</v>
      </c>
      <c r="T144" s="82" t="str">
        <f t="shared" si="3"/>
        <v/>
      </c>
      <c r="U144" s="83">
        <f t="shared" si="4"/>
        <v>0</v>
      </c>
      <c r="V144" s="83">
        <f t="shared" si="5"/>
        <v>0</v>
      </c>
      <c r="W144" s="83">
        <f t="shared" si="6"/>
        <v>0</v>
      </c>
      <c r="X144" s="78" t="s">
        <v>821</v>
      </c>
      <c r="Y144" s="78"/>
    </row>
    <row r="145" ht="15.75" customHeight="1">
      <c r="A145" s="78"/>
      <c r="B145" s="79"/>
      <c r="C145" s="78"/>
      <c r="D145" s="78"/>
      <c r="E145" s="78"/>
      <c r="F145" s="78"/>
      <c r="G145" s="81"/>
      <c r="H145" s="84"/>
      <c r="I145" s="82" t="str">
        <f t="shared" si="1"/>
        <v/>
      </c>
      <c r="J145" s="84"/>
      <c r="K145" s="78"/>
      <c r="L145" s="78"/>
      <c r="M145" s="78"/>
      <c r="N145" s="78"/>
      <c r="O145" s="78"/>
      <c r="P145" s="78"/>
      <c r="Q145" s="78"/>
      <c r="R145" s="82" t="str">
        <f t="shared" si="2"/>
        <v/>
      </c>
      <c r="S145" s="84">
        <v>500000.0</v>
      </c>
      <c r="T145" s="82" t="str">
        <f t="shared" si="3"/>
        <v/>
      </c>
      <c r="U145" s="83">
        <f t="shared" si="4"/>
        <v>0</v>
      </c>
      <c r="V145" s="83">
        <f t="shared" si="5"/>
        <v>0</v>
      </c>
      <c r="W145" s="83">
        <f t="shared" si="6"/>
        <v>0</v>
      </c>
      <c r="X145" s="78" t="s">
        <v>821</v>
      </c>
      <c r="Y145" s="78"/>
    </row>
    <row r="146" ht="15.75" customHeight="1">
      <c r="A146" s="78"/>
      <c r="B146" s="79"/>
      <c r="C146" s="78"/>
      <c r="D146" s="78"/>
      <c r="E146" s="78"/>
      <c r="F146" s="78"/>
      <c r="G146" s="81"/>
      <c r="H146" s="84"/>
      <c r="I146" s="82" t="str">
        <f t="shared" si="1"/>
        <v/>
      </c>
      <c r="J146" s="84"/>
      <c r="K146" s="78"/>
      <c r="L146" s="78"/>
      <c r="M146" s="78"/>
      <c r="N146" s="78"/>
      <c r="O146" s="78"/>
      <c r="P146" s="78"/>
      <c r="Q146" s="78"/>
      <c r="R146" s="82" t="str">
        <f t="shared" si="2"/>
        <v/>
      </c>
      <c r="S146" s="84">
        <v>500000.0</v>
      </c>
      <c r="T146" s="82" t="str">
        <f t="shared" si="3"/>
        <v/>
      </c>
      <c r="U146" s="83">
        <f t="shared" si="4"/>
        <v>0</v>
      </c>
      <c r="V146" s="83">
        <f t="shared" si="5"/>
        <v>0</v>
      </c>
      <c r="W146" s="83">
        <f t="shared" si="6"/>
        <v>0</v>
      </c>
      <c r="X146" s="78" t="s">
        <v>821</v>
      </c>
      <c r="Y146" s="78"/>
    </row>
    <row r="147" ht="15.75" customHeight="1">
      <c r="A147" s="78"/>
      <c r="B147" s="79"/>
      <c r="C147" s="78"/>
      <c r="D147" s="78"/>
      <c r="E147" s="78"/>
      <c r="F147" s="78"/>
      <c r="G147" s="81"/>
      <c r="H147" s="84"/>
      <c r="I147" s="82" t="str">
        <f t="shared" si="1"/>
        <v/>
      </c>
      <c r="J147" s="84"/>
      <c r="K147" s="78"/>
      <c r="L147" s="78"/>
      <c r="M147" s="78"/>
      <c r="N147" s="78"/>
      <c r="O147" s="78"/>
      <c r="P147" s="78"/>
      <c r="Q147" s="78"/>
      <c r="R147" s="82" t="str">
        <f t="shared" si="2"/>
        <v/>
      </c>
      <c r="S147" s="84">
        <v>500000.0</v>
      </c>
      <c r="T147" s="82" t="str">
        <f t="shared" si="3"/>
        <v/>
      </c>
      <c r="U147" s="83">
        <f t="shared" si="4"/>
        <v>0</v>
      </c>
      <c r="V147" s="83">
        <f t="shared" si="5"/>
        <v>0</v>
      </c>
      <c r="W147" s="83">
        <f t="shared" si="6"/>
        <v>0</v>
      </c>
      <c r="X147" s="78" t="s">
        <v>821</v>
      </c>
      <c r="Y147" s="78"/>
    </row>
    <row r="148" ht="15.75" customHeight="1">
      <c r="A148" s="78"/>
      <c r="B148" s="79"/>
      <c r="C148" s="78"/>
      <c r="D148" s="78"/>
      <c r="E148" s="78"/>
      <c r="F148" s="78"/>
      <c r="G148" s="81"/>
      <c r="H148" s="84"/>
      <c r="I148" s="82" t="str">
        <f t="shared" si="1"/>
        <v/>
      </c>
      <c r="J148" s="84"/>
      <c r="K148" s="78"/>
      <c r="L148" s="78"/>
      <c r="M148" s="78"/>
      <c r="N148" s="78"/>
      <c r="O148" s="78"/>
      <c r="P148" s="78"/>
      <c r="Q148" s="78"/>
      <c r="R148" s="82" t="str">
        <f t="shared" si="2"/>
        <v/>
      </c>
      <c r="S148" s="84">
        <v>500000.0</v>
      </c>
      <c r="T148" s="82" t="str">
        <f t="shared" si="3"/>
        <v/>
      </c>
      <c r="U148" s="83">
        <f t="shared" si="4"/>
        <v>0</v>
      </c>
      <c r="V148" s="83">
        <f t="shared" si="5"/>
        <v>0</v>
      </c>
      <c r="W148" s="83">
        <f t="shared" si="6"/>
        <v>0</v>
      </c>
      <c r="X148" s="78" t="s">
        <v>821</v>
      </c>
      <c r="Y148" s="78"/>
    </row>
    <row r="149" ht="15.75" customHeight="1">
      <c r="A149" s="78"/>
      <c r="B149" s="79"/>
      <c r="C149" s="78"/>
      <c r="D149" s="78"/>
      <c r="E149" s="78"/>
      <c r="F149" s="78"/>
      <c r="G149" s="81"/>
      <c r="H149" s="84"/>
      <c r="I149" s="82" t="str">
        <f t="shared" si="1"/>
        <v/>
      </c>
      <c r="J149" s="84"/>
      <c r="K149" s="78"/>
      <c r="L149" s="78"/>
      <c r="M149" s="78"/>
      <c r="N149" s="78"/>
      <c r="O149" s="78"/>
      <c r="P149" s="78"/>
      <c r="Q149" s="78"/>
      <c r="R149" s="82" t="str">
        <f t="shared" si="2"/>
        <v/>
      </c>
      <c r="S149" s="84">
        <v>500000.0</v>
      </c>
      <c r="T149" s="82" t="str">
        <f t="shared" si="3"/>
        <v/>
      </c>
      <c r="U149" s="83">
        <f t="shared" si="4"/>
        <v>0</v>
      </c>
      <c r="V149" s="83">
        <f t="shared" si="5"/>
        <v>0</v>
      </c>
      <c r="W149" s="83">
        <f t="shared" si="6"/>
        <v>0</v>
      </c>
      <c r="X149" s="78" t="s">
        <v>821</v>
      </c>
      <c r="Y149" s="78"/>
    </row>
    <row r="150" ht="15.75" customHeight="1">
      <c r="A150" s="78"/>
      <c r="B150" s="79"/>
      <c r="C150" s="78"/>
      <c r="D150" s="78"/>
      <c r="E150" s="78"/>
      <c r="F150" s="78"/>
      <c r="G150" s="81"/>
      <c r="H150" s="84"/>
      <c r="I150" s="82" t="str">
        <f t="shared" si="1"/>
        <v/>
      </c>
      <c r="J150" s="84"/>
      <c r="K150" s="78"/>
      <c r="L150" s="78"/>
      <c r="M150" s="78"/>
      <c r="N150" s="78"/>
      <c r="O150" s="78"/>
      <c r="P150" s="78"/>
      <c r="Q150" s="78"/>
      <c r="R150" s="82" t="str">
        <f t="shared" si="2"/>
        <v/>
      </c>
      <c r="S150" s="84">
        <v>500000.0</v>
      </c>
      <c r="T150" s="82" t="str">
        <f t="shared" si="3"/>
        <v/>
      </c>
      <c r="U150" s="83">
        <f t="shared" si="4"/>
        <v>0</v>
      </c>
      <c r="V150" s="83">
        <f t="shared" si="5"/>
        <v>0</v>
      </c>
      <c r="W150" s="83">
        <f t="shared" si="6"/>
        <v>0</v>
      </c>
      <c r="X150" s="78" t="s">
        <v>821</v>
      </c>
      <c r="Y150" s="78"/>
    </row>
    <row r="151" ht="15.75" customHeight="1">
      <c r="A151" s="78"/>
      <c r="B151" s="79"/>
      <c r="C151" s="78"/>
      <c r="D151" s="78"/>
      <c r="E151" s="78"/>
      <c r="F151" s="78"/>
      <c r="G151" s="81"/>
      <c r="H151" s="84"/>
      <c r="I151" s="82" t="str">
        <f t="shared" si="1"/>
        <v/>
      </c>
      <c r="J151" s="84"/>
      <c r="K151" s="78"/>
      <c r="L151" s="78"/>
      <c r="M151" s="78"/>
      <c r="N151" s="78"/>
      <c r="O151" s="78"/>
      <c r="P151" s="78"/>
      <c r="Q151" s="78"/>
      <c r="R151" s="82" t="str">
        <f t="shared" si="2"/>
        <v/>
      </c>
      <c r="S151" s="84">
        <v>500000.0</v>
      </c>
      <c r="T151" s="82" t="str">
        <f t="shared" si="3"/>
        <v/>
      </c>
      <c r="U151" s="83">
        <f t="shared" si="4"/>
        <v>0</v>
      </c>
      <c r="V151" s="83">
        <f t="shared" si="5"/>
        <v>0</v>
      </c>
      <c r="W151" s="83">
        <f t="shared" si="6"/>
        <v>0</v>
      </c>
      <c r="X151" s="78" t="s">
        <v>821</v>
      </c>
      <c r="Y151" s="78"/>
    </row>
    <row r="152" ht="15.75" customHeight="1">
      <c r="A152" s="78"/>
      <c r="B152" s="79"/>
      <c r="C152" s="78"/>
      <c r="D152" s="78"/>
      <c r="E152" s="78"/>
      <c r="F152" s="78"/>
      <c r="G152" s="81"/>
      <c r="H152" s="84"/>
      <c r="I152" s="82" t="str">
        <f t="shared" si="1"/>
        <v/>
      </c>
      <c r="J152" s="84"/>
      <c r="K152" s="78"/>
      <c r="L152" s="78"/>
      <c r="M152" s="78"/>
      <c r="N152" s="78"/>
      <c r="O152" s="78"/>
      <c r="P152" s="78"/>
      <c r="Q152" s="78"/>
      <c r="R152" s="82" t="str">
        <f t="shared" si="2"/>
        <v/>
      </c>
      <c r="S152" s="84">
        <v>500000.0</v>
      </c>
      <c r="T152" s="82" t="str">
        <f t="shared" si="3"/>
        <v/>
      </c>
      <c r="U152" s="83">
        <f t="shared" si="4"/>
        <v>0</v>
      </c>
      <c r="V152" s="83">
        <f t="shared" si="5"/>
        <v>0</v>
      </c>
      <c r="W152" s="83">
        <f t="shared" si="6"/>
        <v>0</v>
      </c>
      <c r="X152" s="78" t="s">
        <v>821</v>
      </c>
      <c r="Y152" s="78"/>
    </row>
    <row r="153" ht="15.75" customHeight="1">
      <c r="A153" s="78"/>
      <c r="B153" s="79"/>
      <c r="C153" s="78"/>
      <c r="D153" s="78"/>
      <c r="E153" s="78"/>
      <c r="F153" s="78"/>
      <c r="G153" s="81"/>
      <c r="H153" s="84"/>
      <c r="I153" s="82" t="str">
        <f t="shared" si="1"/>
        <v/>
      </c>
      <c r="J153" s="84"/>
      <c r="K153" s="78"/>
      <c r="L153" s="78"/>
      <c r="M153" s="78"/>
      <c r="N153" s="78"/>
      <c r="O153" s="78"/>
      <c r="P153" s="78"/>
      <c r="Q153" s="78"/>
      <c r="R153" s="82" t="str">
        <f t="shared" si="2"/>
        <v/>
      </c>
      <c r="S153" s="84">
        <v>500000.0</v>
      </c>
      <c r="T153" s="82" t="str">
        <f t="shared" si="3"/>
        <v/>
      </c>
      <c r="U153" s="83">
        <f t="shared" si="4"/>
        <v>0</v>
      </c>
      <c r="V153" s="83">
        <f t="shared" si="5"/>
        <v>0</v>
      </c>
      <c r="W153" s="83">
        <f t="shared" si="6"/>
        <v>0</v>
      </c>
      <c r="X153" s="78" t="s">
        <v>821</v>
      </c>
      <c r="Y153" s="78"/>
    </row>
    <row r="154" ht="15.75" customHeight="1">
      <c r="A154" s="78"/>
      <c r="B154" s="79"/>
      <c r="C154" s="78"/>
      <c r="D154" s="78"/>
      <c r="E154" s="78"/>
      <c r="F154" s="78"/>
      <c r="G154" s="81"/>
      <c r="H154" s="84"/>
      <c r="I154" s="82" t="str">
        <f t="shared" si="1"/>
        <v/>
      </c>
      <c r="J154" s="84"/>
      <c r="K154" s="78"/>
      <c r="L154" s="78"/>
      <c r="M154" s="78"/>
      <c r="N154" s="78"/>
      <c r="O154" s="78"/>
      <c r="P154" s="78"/>
      <c r="Q154" s="78"/>
      <c r="R154" s="82" t="str">
        <f t="shared" si="2"/>
        <v/>
      </c>
      <c r="S154" s="84">
        <v>500000.0</v>
      </c>
      <c r="T154" s="82" t="str">
        <f t="shared" si="3"/>
        <v/>
      </c>
      <c r="U154" s="83">
        <f t="shared" si="4"/>
        <v>0</v>
      </c>
      <c r="V154" s="83">
        <f t="shared" si="5"/>
        <v>0</v>
      </c>
      <c r="W154" s="83">
        <f t="shared" si="6"/>
        <v>0</v>
      </c>
      <c r="X154" s="78" t="s">
        <v>821</v>
      </c>
      <c r="Y154" s="78"/>
    </row>
    <row r="155" ht="15.75" customHeight="1">
      <c r="A155" s="78"/>
      <c r="B155" s="79"/>
      <c r="C155" s="78"/>
      <c r="D155" s="78"/>
      <c r="E155" s="78"/>
      <c r="F155" s="78"/>
      <c r="G155" s="81"/>
      <c r="H155" s="84"/>
      <c r="I155" s="82" t="str">
        <f t="shared" si="1"/>
        <v/>
      </c>
      <c r="J155" s="84"/>
      <c r="K155" s="78"/>
      <c r="L155" s="78"/>
      <c r="M155" s="78"/>
      <c r="N155" s="78"/>
      <c r="O155" s="78"/>
      <c r="P155" s="78"/>
      <c r="Q155" s="78"/>
      <c r="R155" s="82" t="str">
        <f t="shared" si="2"/>
        <v/>
      </c>
      <c r="S155" s="84">
        <v>500000.0</v>
      </c>
      <c r="T155" s="82" t="str">
        <f t="shared" si="3"/>
        <v/>
      </c>
      <c r="U155" s="83">
        <f t="shared" si="4"/>
        <v>0</v>
      </c>
      <c r="V155" s="83">
        <f t="shared" si="5"/>
        <v>0</v>
      </c>
      <c r="W155" s="83">
        <f t="shared" si="6"/>
        <v>0</v>
      </c>
      <c r="X155" s="78" t="s">
        <v>821</v>
      </c>
      <c r="Y155" s="78"/>
    </row>
    <row r="156" ht="15.75" customHeight="1">
      <c r="A156" s="78"/>
      <c r="B156" s="79"/>
      <c r="C156" s="78"/>
      <c r="D156" s="78"/>
      <c r="E156" s="78"/>
      <c r="F156" s="78"/>
      <c r="G156" s="81"/>
      <c r="H156" s="84"/>
      <c r="I156" s="82" t="str">
        <f t="shared" si="1"/>
        <v/>
      </c>
      <c r="J156" s="84"/>
      <c r="K156" s="78"/>
      <c r="L156" s="78"/>
      <c r="M156" s="78"/>
      <c r="N156" s="78"/>
      <c r="O156" s="78"/>
      <c r="P156" s="78"/>
      <c r="Q156" s="78"/>
      <c r="R156" s="82" t="str">
        <f t="shared" si="2"/>
        <v/>
      </c>
      <c r="S156" s="84">
        <v>500000.0</v>
      </c>
      <c r="T156" s="82" t="str">
        <f t="shared" si="3"/>
        <v/>
      </c>
      <c r="U156" s="83">
        <f t="shared" si="4"/>
        <v>0</v>
      </c>
      <c r="V156" s="83">
        <f t="shared" si="5"/>
        <v>0</v>
      </c>
      <c r="W156" s="83">
        <f t="shared" si="6"/>
        <v>0</v>
      </c>
      <c r="X156" s="78" t="s">
        <v>821</v>
      </c>
      <c r="Y156" s="78"/>
    </row>
    <row r="157" ht="15.75" customHeight="1">
      <c r="A157" s="78"/>
      <c r="B157" s="79"/>
      <c r="C157" s="78"/>
      <c r="D157" s="78"/>
      <c r="E157" s="78"/>
      <c r="F157" s="78"/>
      <c r="G157" s="81"/>
      <c r="H157" s="84"/>
      <c r="I157" s="82" t="str">
        <f t="shared" si="1"/>
        <v/>
      </c>
      <c r="J157" s="84"/>
      <c r="K157" s="78"/>
      <c r="L157" s="78"/>
      <c r="M157" s="78"/>
      <c r="N157" s="78"/>
      <c r="O157" s="78"/>
      <c r="P157" s="78"/>
      <c r="Q157" s="78"/>
      <c r="R157" s="82" t="str">
        <f t="shared" si="2"/>
        <v/>
      </c>
      <c r="S157" s="84">
        <v>500000.0</v>
      </c>
      <c r="T157" s="82" t="str">
        <f t="shared" si="3"/>
        <v/>
      </c>
      <c r="U157" s="83">
        <f t="shared" si="4"/>
        <v>0</v>
      </c>
      <c r="V157" s="83">
        <f t="shared" si="5"/>
        <v>0</v>
      </c>
      <c r="W157" s="83">
        <f t="shared" si="6"/>
        <v>0</v>
      </c>
      <c r="X157" s="78" t="s">
        <v>821</v>
      </c>
      <c r="Y157" s="78"/>
    </row>
    <row r="158" ht="15.75" customHeight="1">
      <c r="A158" s="78"/>
      <c r="B158" s="79"/>
      <c r="C158" s="78"/>
      <c r="D158" s="78"/>
      <c r="E158" s="78"/>
      <c r="F158" s="78"/>
      <c r="G158" s="81"/>
      <c r="H158" s="84"/>
      <c r="I158" s="82" t="str">
        <f t="shared" si="1"/>
        <v/>
      </c>
      <c r="J158" s="84"/>
      <c r="K158" s="78"/>
      <c r="L158" s="78"/>
      <c r="M158" s="78"/>
      <c r="N158" s="78"/>
      <c r="O158" s="78"/>
      <c r="P158" s="78"/>
      <c r="Q158" s="78"/>
      <c r="R158" s="82" t="str">
        <f t="shared" si="2"/>
        <v/>
      </c>
      <c r="S158" s="84">
        <v>500000.0</v>
      </c>
      <c r="T158" s="82" t="str">
        <f t="shared" si="3"/>
        <v/>
      </c>
      <c r="U158" s="83">
        <f t="shared" si="4"/>
        <v>0</v>
      </c>
      <c r="V158" s="83">
        <f t="shared" si="5"/>
        <v>0</v>
      </c>
      <c r="W158" s="83">
        <f t="shared" si="6"/>
        <v>0</v>
      </c>
      <c r="X158" s="78" t="s">
        <v>821</v>
      </c>
      <c r="Y158" s="78"/>
    </row>
    <row r="159" ht="15.75" customHeight="1">
      <c r="A159" s="78"/>
      <c r="B159" s="79"/>
      <c r="C159" s="78"/>
      <c r="D159" s="78"/>
      <c r="E159" s="78"/>
      <c r="F159" s="78"/>
      <c r="G159" s="81"/>
      <c r="H159" s="84"/>
      <c r="I159" s="82" t="str">
        <f t="shared" si="1"/>
        <v/>
      </c>
      <c r="J159" s="84"/>
      <c r="K159" s="78"/>
      <c r="L159" s="78"/>
      <c r="M159" s="78"/>
      <c r="N159" s="78"/>
      <c r="O159" s="78"/>
      <c r="P159" s="78"/>
      <c r="Q159" s="78"/>
      <c r="R159" s="82" t="str">
        <f t="shared" si="2"/>
        <v/>
      </c>
      <c r="S159" s="84">
        <v>500000.0</v>
      </c>
      <c r="T159" s="82" t="str">
        <f t="shared" si="3"/>
        <v/>
      </c>
      <c r="U159" s="83">
        <f t="shared" si="4"/>
        <v>0</v>
      </c>
      <c r="V159" s="83">
        <f t="shared" si="5"/>
        <v>0</v>
      </c>
      <c r="W159" s="83">
        <f t="shared" si="6"/>
        <v>0</v>
      </c>
      <c r="X159" s="78" t="s">
        <v>821</v>
      </c>
      <c r="Y159" s="78"/>
    </row>
    <row r="160" ht="15.75" customHeight="1">
      <c r="A160" s="78"/>
      <c r="B160" s="79"/>
      <c r="C160" s="78"/>
      <c r="D160" s="78"/>
      <c r="E160" s="78"/>
      <c r="F160" s="78"/>
      <c r="G160" s="81"/>
      <c r="H160" s="84"/>
      <c r="I160" s="82" t="str">
        <f t="shared" si="1"/>
        <v/>
      </c>
      <c r="J160" s="84"/>
      <c r="K160" s="78"/>
      <c r="L160" s="78"/>
      <c r="M160" s="78"/>
      <c r="N160" s="78"/>
      <c r="O160" s="78"/>
      <c r="P160" s="78"/>
      <c r="Q160" s="78"/>
      <c r="R160" s="82" t="str">
        <f t="shared" si="2"/>
        <v/>
      </c>
      <c r="S160" s="84">
        <v>500000.0</v>
      </c>
      <c r="T160" s="82" t="str">
        <f t="shared" si="3"/>
        <v/>
      </c>
      <c r="U160" s="83">
        <f t="shared" si="4"/>
        <v>0</v>
      </c>
      <c r="V160" s="83">
        <f t="shared" si="5"/>
        <v>0</v>
      </c>
      <c r="W160" s="83">
        <f t="shared" si="6"/>
        <v>0</v>
      </c>
      <c r="X160" s="78" t="s">
        <v>821</v>
      </c>
      <c r="Y160" s="78"/>
    </row>
    <row r="161" ht="15.75" customHeight="1">
      <c r="A161" s="78"/>
      <c r="B161" s="79"/>
      <c r="C161" s="78"/>
      <c r="D161" s="78"/>
      <c r="E161" s="78"/>
      <c r="F161" s="78"/>
      <c r="G161" s="81"/>
      <c r="H161" s="84"/>
      <c r="I161" s="82" t="str">
        <f t="shared" si="1"/>
        <v/>
      </c>
      <c r="J161" s="84"/>
      <c r="K161" s="78"/>
      <c r="L161" s="78"/>
      <c r="M161" s="78"/>
      <c r="N161" s="78"/>
      <c r="O161" s="78"/>
      <c r="P161" s="78"/>
      <c r="Q161" s="78"/>
      <c r="R161" s="82" t="str">
        <f t="shared" si="2"/>
        <v/>
      </c>
      <c r="S161" s="84">
        <v>500000.0</v>
      </c>
      <c r="T161" s="82" t="str">
        <f t="shared" si="3"/>
        <v/>
      </c>
      <c r="U161" s="83">
        <f t="shared" si="4"/>
        <v>0</v>
      </c>
      <c r="V161" s="83">
        <f t="shared" si="5"/>
        <v>0</v>
      </c>
      <c r="W161" s="83">
        <f t="shared" si="6"/>
        <v>0</v>
      </c>
      <c r="X161" s="78" t="s">
        <v>821</v>
      </c>
      <c r="Y161" s="78"/>
    </row>
    <row r="162" ht="15.75" customHeight="1">
      <c r="A162" s="78"/>
      <c r="B162" s="79"/>
      <c r="C162" s="78"/>
      <c r="D162" s="78"/>
      <c r="E162" s="78"/>
      <c r="F162" s="78"/>
      <c r="G162" s="81"/>
      <c r="H162" s="84"/>
      <c r="I162" s="82" t="str">
        <f t="shared" si="1"/>
        <v/>
      </c>
      <c r="J162" s="84"/>
      <c r="K162" s="78"/>
      <c r="L162" s="78"/>
      <c r="M162" s="78"/>
      <c r="N162" s="78"/>
      <c r="O162" s="78"/>
      <c r="P162" s="78"/>
      <c r="Q162" s="78"/>
      <c r="R162" s="82" t="str">
        <f t="shared" si="2"/>
        <v/>
      </c>
      <c r="S162" s="84">
        <v>500000.0</v>
      </c>
      <c r="T162" s="82" t="str">
        <f t="shared" si="3"/>
        <v/>
      </c>
      <c r="U162" s="83">
        <f t="shared" si="4"/>
        <v>0</v>
      </c>
      <c r="V162" s="83">
        <f t="shared" si="5"/>
        <v>0</v>
      </c>
      <c r="W162" s="83">
        <f t="shared" si="6"/>
        <v>0</v>
      </c>
      <c r="X162" s="78" t="s">
        <v>821</v>
      </c>
      <c r="Y162" s="78"/>
    </row>
    <row r="163" ht="15.75" customHeight="1">
      <c r="A163" s="78"/>
      <c r="B163" s="79"/>
      <c r="C163" s="78"/>
      <c r="D163" s="78"/>
      <c r="E163" s="78"/>
      <c r="F163" s="78"/>
      <c r="G163" s="81"/>
      <c r="H163" s="84"/>
      <c r="I163" s="82" t="str">
        <f t="shared" si="1"/>
        <v/>
      </c>
      <c r="J163" s="84"/>
      <c r="K163" s="78"/>
      <c r="L163" s="78"/>
      <c r="M163" s="78"/>
      <c r="N163" s="78"/>
      <c r="O163" s="78"/>
      <c r="P163" s="78"/>
      <c r="Q163" s="78"/>
      <c r="R163" s="82" t="str">
        <f t="shared" si="2"/>
        <v/>
      </c>
      <c r="S163" s="84">
        <v>500000.0</v>
      </c>
      <c r="T163" s="82" t="str">
        <f t="shared" si="3"/>
        <v/>
      </c>
      <c r="U163" s="83">
        <f t="shared" si="4"/>
        <v>0</v>
      </c>
      <c r="V163" s="83">
        <f t="shared" si="5"/>
        <v>0</v>
      </c>
      <c r="W163" s="83">
        <f t="shared" si="6"/>
        <v>0</v>
      </c>
      <c r="X163" s="78" t="s">
        <v>821</v>
      </c>
      <c r="Y163" s="78"/>
    </row>
    <row r="164" ht="15.75" customHeight="1">
      <c r="A164" s="78"/>
      <c r="B164" s="79"/>
      <c r="C164" s="78"/>
      <c r="D164" s="78"/>
      <c r="E164" s="78"/>
      <c r="F164" s="78"/>
      <c r="G164" s="81"/>
      <c r="H164" s="84"/>
      <c r="I164" s="82" t="str">
        <f t="shared" si="1"/>
        <v/>
      </c>
      <c r="J164" s="84"/>
      <c r="K164" s="78"/>
      <c r="L164" s="78"/>
      <c r="M164" s="78"/>
      <c r="N164" s="78"/>
      <c r="O164" s="78"/>
      <c r="P164" s="78"/>
      <c r="Q164" s="78"/>
      <c r="R164" s="82" t="str">
        <f t="shared" si="2"/>
        <v/>
      </c>
      <c r="S164" s="84">
        <v>500000.0</v>
      </c>
      <c r="T164" s="82" t="str">
        <f t="shared" si="3"/>
        <v/>
      </c>
      <c r="U164" s="83">
        <f t="shared" si="4"/>
        <v>0</v>
      </c>
      <c r="V164" s="83">
        <f t="shared" si="5"/>
        <v>0</v>
      </c>
      <c r="W164" s="83">
        <f t="shared" si="6"/>
        <v>0</v>
      </c>
      <c r="X164" s="78" t="s">
        <v>821</v>
      </c>
      <c r="Y164" s="78"/>
    </row>
    <row r="165" ht="15.75" customHeight="1">
      <c r="A165" s="78"/>
      <c r="B165" s="79"/>
      <c r="C165" s="78"/>
      <c r="D165" s="78"/>
      <c r="E165" s="78"/>
      <c r="F165" s="78"/>
      <c r="G165" s="81"/>
      <c r="H165" s="84"/>
      <c r="I165" s="82" t="str">
        <f t="shared" si="1"/>
        <v/>
      </c>
      <c r="J165" s="84"/>
      <c r="K165" s="78"/>
      <c r="L165" s="78"/>
      <c r="M165" s="78"/>
      <c r="N165" s="78"/>
      <c r="O165" s="78"/>
      <c r="P165" s="78"/>
      <c r="Q165" s="78"/>
      <c r="R165" s="82" t="str">
        <f t="shared" si="2"/>
        <v/>
      </c>
      <c r="S165" s="84">
        <v>500000.0</v>
      </c>
      <c r="T165" s="82" t="str">
        <f t="shared" si="3"/>
        <v/>
      </c>
      <c r="U165" s="83">
        <f t="shared" si="4"/>
        <v>0</v>
      </c>
      <c r="V165" s="83">
        <f t="shared" si="5"/>
        <v>0</v>
      </c>
      <c r="W165" s="83">
        <f t="shared" si="6"/>
        <v>0</v>
      </c>
      <c r="X165" s="78" t="s">
        <v>821</v>
      </c>
      <c r="Y165" s="78"/>
    </row>
    <row r="166" ht="15.75" customHeight="1">
      <c r="A166" s="78"/>
      <c r="B166" s="79"/>
      <c r="C166" s="78"/>
      <c r="D166" s="78"/>
      <c r="E166" s="78"/>
      <c r="F166" s="78"/>
      <c r="G166" s="81"/>
      <c r="H166" s="84"/>
      <c r="I166" s="82" t="str">
        <f t="shared" si="1"/>
        <v/>
      </c>
      <c r="J166" s="84"/>
      <c r="K166" s="78"/>
      <c r="L166" s="78"/>
      <c r="M166" s="78"/>
      <c r="N166" s="78"/>
      <c r="O166" s="78"/>
      <c r="P166" s="78"/>
      <c r="Q166" s="78"/>
      <c r="R166" s="82" t="str">
        <f t="shared" si="2"/>
        <v/>
      </c>
      <c r="S166" s="84">
        <v>500000.0</v>
      </c>
      <c r="T166" s="82" t="str">
        <f t="shared" si="3"/>
        <v/>
      </c>
      <c r="U166" s="83">
        <f t="shared" si="4"/>
        <v>0</v>
      </c>
      <c r="V166" s="83">
        <f t="shared" si="5"/>
        <v>0</v>
      </c>
      <c r="W166" s="83">
        <f t="shared" si="6"/>
        <v>0</v>
      </c>
      <c r="X166" s="78" t="s">
        <v>821</v>
      </c>
      <c r="Y166" s="78"/>
    </row>
    <row r="167" ht="15.75" customHeight="1">
      <c r="A167" s="78"/>
      <c r="B167" s="79"/>
      <c r="C167" s="78"/>
      <c r="D167" s="78"/>
      <c r="E167" s="78"/>
      <c r="F167" s="78"/>
      <c r="G167" s="81"/>
      <c r="H167" s="84"/>
      <c r="I167" s="82" t="str">
        <f t="shared" si="1"/>
        <v/>
      </c>
      <c r="J167" s="84"/>
      <c r="K167" s="78"/>
      <c r="L167" s="78"/>
      <c r="M167" s="78"/>
      <c r="N167" s="78"/>
      <c r="O167" s="78"/>
      <c r="P167" s="78"/>
      <c r="Q167" s="78"/>
      <c r="R167" s="82" t="str">
        <f t="shared" si="2"/>
        <v/>
      </c>
      <c r="S167" s="84">
        <v>500000.0</v>
      </c>
      <c r="T167" s="82" t="str">
        <f t="shared" si="3"/>
        <v/>
      </c>
      <c r="U167" s="83">
        <f t="shared" si="4"/>
        <v>0</v>
      </c>
      <c r="V167" s="83">
        <f t="shared" si="5"/>
        <v>0</v>
      </c>
      <c r="W167" s="83">
        <f t="shared" si="6"/>
        <v>0</v>
      </c>
      <c r="X167" s="78" t="s">
        <v>821</v>
      </c>
      <c r="Y167" s="78"/>
    </row>
    <row r="168" ht="15.75" customHeight="1">
      <c r="A168" s="78"/>
      <c r="B168" s="79"/>
      <c r="C168" s="78"/>
      <c r="D168" s="78"/>
      <c r="E168" s="78"/>
      <c r="F168" s="78"/>
      <c r="G168" s="81"/>
      <c r="H168" s="84"/>
      <c r="I168" s="82" t="str">
        <f t="shared" si="1"/>
        <v/>
      </c>
      <c r="J168" s="84"/>
      <c r="K168" s="78"/>
      <c r="L168" s="78"/>
      <c r="M168" s="78"/>
      <c r="N168" s="78"/>
      <c r="O168" s="78"/>
      <c r="P168" s="78"/>
      <c r="Q168" s="78"/>
      <c r="R168" s="82" t="str">
        <f t="shared" si="2"/>
        <v/>
      </c>
      <c r="S168" s="84">
        <v>500000.0</v>
      </c>
      <c r="T168" s="82" t="str">
        <f t="shared" si="3"/>
        <v/>
      </c>
      <c r="U168" s="83">
        <f t="shared" si="4"/>
        <v>0</v>
      </c>
      <c r="V168" s="83">
        <f t="shared" si="5"/>
        <v>0</v>
      </c>
      <c r="W168" s="83">
        <f t="shared" si="6"/>
        <v>0</v>
      </c>
      <c r="X168" s="78" t="s">
        <v>821</v>
      </c>
      <c r="Y168" s="78"/>
    </row>
    <row r="169" ht="15.75" customHeight="1">
      <c r="A169" s="78"/>
      <c r="B169" s="79"/>
      <c r="C169" s="78"/>
      <c r="D169" s="78"/>
      <c r="E169" s="78"/>
      <c r="F169" s="78"/>
      <c r="G169" s="81"/>
      <c r="H169" s="84"/>
      <c r="I169" s="82" t="str">
        <f t="shared" si="1"/>
        <v/>
      </c>
      <c r="J169" s="84"/>
      <c r="K169" s="78"/>
      <c r="L169" s="78"/>
      <c r="M169" s="78"/>
      <c r="N169" s="78"/>
      <c r="O169" s="78"/>
      <c r="P169" s="78"/>
      <c r="Q169" s="78"/>
      <c r="R169" s="82" t="str">
        <f t="shared" si="2"/>
        <v/>
      </c>
      <c r="S169" s="84">
        <v>500000.0</v>
      </c>
      <c r="T169" s="82" t="str">
        <f t="shared" si="3"/>
        <v/>
      </c>
      <c r="U169" s="83">
        <f t="shared" si="4"/>
        <v>0</v>
      </c>
      <c r="V169" s="83">
        <f t="shared" si="5"/>
        <v>0</v>
      </c>
      <c r="W169" s="83">
        <f t="shared" si="6"/>
        <v>0</v>
      </c>
      <c r="X169" s="78" t="s">
        <v>821</v>
      </c>
      <c r="Y169" s="78"/>
    </row>
    <row r="170" ht="15.75" customHeight="1">
      <c r="A170" s="78"/>
      <c r="B170" s="79"/>
      <c r="C170" s="78"/>
      <c r="D170" s="78"/>
      <c r="E170" s="78"/>
      <c r="F170" s="78"/>
      <c r="G170" s="81"/>
      <c r="H170" s="84"/>
      <c r="I170" s="82" t="str">
        <f t="shared" si="1"/>
        <v/>
      </c>
      <c r="J170" s="84"/>
      <c r="K170" s="78"/>
      <c r="L170" s="78"/>
      <c r="M170" s="78"/>
      <c r="N170" s="78"/>
      <c r="O170" s="78"/>
      <c r="P170" s="78"/>
      <c r="Q170" s="78"/>
      <c r="R170" s="82" t="str">
        <f t="shared" si="2"/>
        <v/>
      </c>
      <c r="S170" s="84">
        <v>500000.0</v>
      </c>
      <c r="T170" s="82" t="str">
        <f t="shared" si="3"/>
        <v/>
      </c>
      <c r="U170" s="83">
        <f t="shared" si="4"/>
        <v>0</v>
      </c>
      <c r="V170" s="83">
        <f t="shared" si="5"/>
        <v>0</v>
      </c>
      <c r="W170" s="83">
        <f t="shared" si="6"/>
        <v>0</v>
      </c>
      <c r="X170" s="78" t="s">
        <v>821</v>
      </c>
      <c r="Y170" s="78"/>
    </row>
    <row r="171" ht="15.75" customHeight="1">
      <c r="A171" s="78"/>
      <c r="B171" s="79"/>
      <c r="C171" s="78"/>
      <c r="D171" s="78"/>
      <c r="E171" s="78"/>
      <c r="F171" s="78"/>
      <c r="G171" s="81"/>
      <c r="H171" s="84"/>
      <c r="I171" s="82" t="str">
        <f t="shared" si="1"/>
        <v/>
      </c>
      <c r="J171" s="84"/>
      <c r="K171" s="78"/>
      <c r="L171" s="78"/>
      <c r="M171" s="78"/>
      <c r="N171" s="78"/>
      <c r="O171" s="78"/>
      <c r="P171" s="78"/>
      <c r="Q171" s="78"/>
      <c r="R171" s="82" t="str">
        <f t="shared" si="2"/>
        <v/>
      </c>
      <c r="S171" s="84">
        <v>500000.0</v>
      </c>
      <c r="T171" s="82" t="str">
        <f t="shared" si="3"/>
        <v/>
      </c>
      <c r="U171" s="83">
        <f t="shared" si="4"/>
        <v>0</v>
      </c>
      <c r="V171" s="83">
        <f t="shared" si="5"/>
        <v>0</v>
      </c>
      <c r="W171" s="83">
        <f t="shared" si="6"/>
        <v>0</v>
      </c>
      <c r="X171" s="78" t="s">
        <v>821</v>
      </c>
      <c r="Y171" s="78"/>
    </row>
    <row r="172" ht="15.75" customHeight="1">
      <c r="A172" s="78"/>
      <c r="B172" s="79"/>
      <c r="C172" s="78"/>
      <c r="D172" s="78"/>
      <c r="E172" s="78"/>
      <c r="F172" s="78"/>
      <c r="G172" s="81"/>
      <c r="H172" s="84"/>
      <c r="I172" s="82" t="str">
        <f t="shared" si="1"/>
        <v/>
      </c>
      <c r="J172" s="84"/>
      <c r="K172" s="78"/>
      <c r="L172" s="78"/>
      <c r="M172" s="78"/>
      <c r="N172" s="78"/>
      <c r="O172" s="78"/>
      <c r="P172" s="78"/>
      <c r="Q172" s="78"/>
      <c r="R172" s="82" t="str">
        <f t="shared" si="2"/>
        <v/>
      </c>
      <c r="S172" s="84">
        <v>500000.0</v>
      </c>
      <c r="T172" s="82" t="str">
        <f t="shared" si="3"/>
        <v/>
      </c>
      <c r="U172" s="83">
        <f t="shared" si="4"/>
        <v>0</v>
      </c>
      <c r="V172" s="83">
        <f t="shared" si="5"/>
        <v>0</v>
      </c>
      <c r="W172" s="83">
        <f t="shared" si="6"/>
        <v>0</v>
      </c>
      <c r="X172" s="78" t="s">
        <v>821</v>
      </c>
      <c r="Y172" s="78"/>
    </row>
    <row r="173" ht="15.75" customHeight="1">
      <c r="A173" s="78"/>
      <c r="B173" s="79"/>
      <c r="C173" s="78"/>
      <c r="D173" s="78"/>
      <c r="E173" s="78"/>
      <c r="F173" s="78"/>
      <c r="G173" s="81"/>
      <c r="H173" s="84"/>
      <c r="I173" s="82" t="str">
        <f t="shared" si="1"/>
        <v/>
      </c>
      <c r="J173" s="84"/>
      <c r="K173" s="78"/>
      <c r="L173" s="78"/>
      <c r="M173" s="78"/>
      <c r="N173" s="78"/>
      <c r="O173" s="78"/>
      <c r="P173" s="78"/>
      <c r="Q173" s="78"/>
      <c r="R173" s="82" t="str">
        <f t="shared" si="2"/>
        <v/>
      </c>
      <c r="S173" s="84">
        <v>500000.0</v>
      </c>
      <c r="T173" s="82" t="str">
        <f t="shared" si="3"/>
        <v/>
      </c>
      <c r="U173" s="83">
        <f t="shared" si="4"/>
        <v>0</v>
      </c>
      <c r="V173" s="83">
        <f t="shared" si="5"/>
        <v>0</v>
      </c>
      <c r="W173" s="83">
        <f t="shared" si="6"/>
        <v>0</v>
      </c>
      <c r="X173" s="78" t="s">
        <v>821</v>
      </c>
      <c r="Y173" s="78"/>
    </row>
    <row r="174" ht="15.75" customHeight="1">
      <c r="A174" s="78"/>
      <c r="B174" s="79"/>
      <c r="C174" s="78"/>
      <c r="D174" s="78"/>
      <c r="E174" s="78"/>
      <c r="F174" s="78"/>
      <c r="G174" s="81"/>
      <c r="H174" s="84"/>
      <c r="I174" s="82" t="str">
        <f t="shared" si="1"/>
        <v/>
      </c>
      <c r="J174" s="84"/>
      <c r="K174" s="78"/>
      <c r="L174" s="78"/>
      <c r="M174" s="78"/>
      <c r="N174" s="78"/>
      <c r="O174" s="78"/>
      <c r="P174" s="78"/>
      <c r="Q174" s="78"/>
      <c r="R174" s="82" t="str">
        <f t="shared" si="2"/>
        <v/>
      </c>
      <c r="S174" s="84">
        <v>500000.0</v>
      </c>
      <c r="T174" s="82" t="str">
        <f t="shared" si="3"/>
        <v/>
      </c>
      <c r="U174" s="83">
        <f t="shared" si="4"/>
        <v>0</v>
      </c>
      <c r="V174" s="83">
        <f t="shared" si="5"/>
        <v>0</v>
      </c>
      <c r="W174" s="83">
        <f t="shared" si="6"/>
        <v>0</v>
      </c>
      <c r="X174" s="78" t="s">
        <v>821</v>
      </c>
      <c r="Y174" s="78"/>
    </row>
    <row r="175" ht="15.75" customHeight="1">
      <c r="A175" s="78"/>
      <c r="B175" s="79"/>
      <c r="C175" s="78"/>
      <c r="D175" s="78"/>
      <c r="E175" s="78"/>
      <c r="F175" s="78"/>
      <c r="G175" s="81"/>
      <c r="H175" s="84"/>
      <c r="I175" s="82" t="str">
        <f t="shared" si="1"/>
        <v/>
      </c>
      <c r="J175" s="84"/>
      <c r="K175" s="78"/>
      <c r="L175" s="78"/>
      <c r="M175" s="78"/>
      <c r="N175" s="78"/>
      <c r="O175" s="78"/>
      <c r="P175" s="78"/>
      <c r="Q175" s="78"/>
      <c r="R175" s="82" t="str">
        <f t="shared" si="2"/>
        <v/>
      </c>
      <c r="S175" s="84">
        <v>500000.0</v>
      </c>
      <c r="T175" s="82" t="str">
        <f t="shared" si="3"/>
        <v/>
      </c>
      <c r="U175" s="83">
        <f t="shared" si="4"/>
        <v>0</v>
      </c>
      <c r="V175" s="83">
        <f t="shared" si="5"/>
        <v>0</v>
      </c>
      <c r="W175" s="83">
        <f t="shared" si="6"/>
        <v>0</v>
      </c>
      <c r="X175" s="78" t="s">
        <v>821</v>
      </c>
      <c r="Y175" s="78"/>
    </row>
    <row r="176" ht="15.75" customHeight="1">
      <c r="A176" s="78"/>
      <c r="B176" s="79"/>
      <c r="C176" s="78"/>
      <c r="D176" s="78"/>
      <c r="E176" s="78"/>
      <c r="F176" s="78"/>
      <c r="G176" s="81"/>
      <c r="H176" s="84"/>
      <c r="I176" s="82" t="str">
        <f t="shared" si="1"/>
        <v/>
      </c>
      <c r="J176" s="84"/>
      <c r="K176" s="78"/>
      <c r="L176" s="78"/>
      <c r="M176" s="78"/>
      <c r="N176" s="78"/>
      <c r="O176" s="78"/>
      <c r="P176" s="78"/>
      <c r="Q176" s="78"/>
      <c r="R176" s="82" t="str">
        <f t="shared" si="2"/>
        <v/>
      </c>
      <c r="S176" s="84">
        <v>500000.0</v>
      </c>
      <c r="T176" s="82" t="str">
        <f t="shared" si="3"/>
        <v/>
      </c>
      <c r="U176" s="83">
        <f t="shared" si="4"/>
        <v>0</v>
      </c>
      <c r="V176" s="83">
        <f t="shared" si="5"/>
        <v>0</v>
      </c>
      <c r="W176" s="83">
        <f t="shared" si="6"/>
        <v>0</v>
      </c>
      <c r="X176" s="78" t="s">
        <v>821</v>
      </c>
      <c r="Y176" s="78"/>
    </row>
    <row r="177" ht="15.75" customHeight="1">
      <c r="A177" s="78"/>
      <c r="B177" s="79"/>
      <c r="C177" s="78"/>
      <c r="D177" s="78"/>
      <c r="E177" s="78"/>
      <c r="F177" s="78"/>
      <c r="G177" s="81"/>
      <c r="H177" s="84"/>
      <c r="I177" s="82" t="str">
        <f t="shared" si="1"/>
        <v/>
      </c>
      <c r="J177" s="84"/>
      <c r="K177" s="78"/>
      <c r="L177" s="78"/>
      <c r="M177" s="78"/>
      <c r="N177" s="78"/>
      <c r="O177" s="78"/>
      <c r="P177" s="78"/>
      <c r="Q177" s="78"/>
      <c r="R177" s="82" t="str">
        <f t="shared" si="2"/>
        <v/>
      </c>
      <c r="S177" s="84">
        <v>500000.0</v>
      </c>
      <c r="T177" s="82" t="str">
        <f t="shared" si="3"/>
        <v/>
      </c>
      <c r="U177" s="83">
        <f t="shared" si="4"/>
        <v>0</v>
      </c>
      <c r="V177" s="83">
        <f t="shared" si="5"/>
        <v>0</v>
      </c>
      <c r="W177" s="83">
        <f t="shared" si="6"/>
        <v>0</v>
      </c>
      <c r="X177" s="78" t="s">
        <v>821</v>
      </c>
      <c r="Y177" s="78"/>
    </row>
    <row r="178" ht="15.75" customHeight="1">
      <c r="A178" s="78"/>
      <c r="B178" s="79"/>
      <c r="C178" s="78"/>
      <c r="D178" s="78"/>
      <c r="E178" s="78"/>
      <c r="F178" s="78"/>
      <c r="G178" s="81"/>
      <c r="H178" s="84"/>
      <c r="I178" s="82" t="str">
        <f t="shared" si="1"/>
        <v/>
      </c>
      <c r="J178" s="84"/>
      <c r="K178" s="78"/>
      <c r="L178" s="78"/>
      <c r="M178" s="78"/>
      <c r="N178" s="78"/>
      <c r="O178" s="78"/>
      <c r="P178" s="78"/>
      <c r="Q178" s="78"/>
      <c r="R178" s="82" t="str">
        <f t="shared" si="2"/>
        <v/>
      </c>
      <c r="S178" s="84">
        <v>500000.0</v>
      </c>
      <c r="T178" s="82" t="str">
        <f t="shared" si="3"/>
        <v/>
      </c>
      <c r="U178" s="83">
        <f t="shared" si="4"/>
        <v>0</v>
      </c>
      <c r="V178" s="83">
        <f t="shared" si="5"/>
        <v>0</v>
      </c>
      <c r="W178" s="83">
        <f t="shared" si="6"/>
        <v>0</v>
      </c>
      <c r="X178" s="78" t="s">
        <v>821</v>
      </c>
      <c r="Y178" s="78"/>
    </row>
    <row r="179" ht="15.75" customHeight="1">
      <c r="A179" s="78"/>
      <c r="B179" s="79"/>
      <c r="C179" s="78"/>
      <c r="D179" s="78"/>
      <c r="E179" s="78"/>
      <c r="F179" s="78"/>
      <c r="G179" s="81"/>
      <c r="H179" s="84"/>
      <c r="I179" s="82" t="str">
        <f t="shared" si="1"/>
        <v/>
      </c>
      <c r="J179" s="84"/>
      <c r="K179" s="78"/>
      <c r="L179" s="78"/>
      <c r="M179" s="78"/>
      <c r="N179" s="78"/>
      <c r="O179" s="78"/>
      <c r="P179" s="78"/>
      <c r="Q179" s="78"/>
      <c r="R179" s="82" t="str">
        <f t="shared" si="2"/>
        <v/>
      </c>
      <c r="S179" s="84">
        <v>500000.0</v>
      </c>
      <c r="T179" s="82" t="str">
        <f t="shared" si="3"/>
        <v/>
      </c>
      <c r="U179" s="83">
        <f t="shared" si="4"/>
        <v>0</v>
      </c>
      <c r="V179" s="83">
        <f t="shared" si="5"/>
        <v>0</v>
      </c>
      <c r="W179" s="83">
        <f t="shared" si="6"/>
        <v>0</v>
      </c>
      <c r="X179" s="78" t="s">
        <v>821</v>
      </c>
      <c r="Y179" s="78"/>
    </row>
    <row r="180" ht="15.75" customHeight="1">
      <c r="A180" s="78"/>
      <c r="B180" s="79"/>
      <c r="C180" s="78"/>
      <c r="D180" s="78"/>
      <c r="E180" s="78"/>
      <c r="F180" s="78"/>
      <c r="G180" s="81"/>
      <c r="H180" s="84"/>
      <c r="I180" s="82" t="str">
        <f t="shared" si="1"/>
        <v/>
      </c>
      <c r="J180" s="84"/>
      <c r="K180" s="78"/>
      <c r="L180" s="78"/>
      <c r="M180" s="78"/>
      <c r="N180" s="78"/>
      <c r="O180" s="78"/>
      <c r="P180" s="78"/>
      <c r="Q180" s="78"/>
      <c r="R180" s="82" t="str">
        <f t="shared" si="2"/>
        <v/>
      </c>
      <c r="S180" s="84">
        <v>500000.0</v>
      </c>
      <c r="T180" s="82" t="str">
        <f t="shared" si="3"/>
        <v/>
      </c>
      <c r="U180" s="83">
        <f t="shared" si="4"/>
        <v>0</v>
      </c>
      <c r="V180" s="83">
        <f t="shared" si="5"/>
        <v>0</v>
      </c>
      <c r="W180" s="83">
        <f t="shared" si="6"/>
        <v>0</v>
      </c>
      <c r="X180" s="78" t="s">
        <v>821</v>
      </c>
      <c r="Y180" s="78"/>
    </row>
    <row r="181" ht="15.75" customHeight="1">
      <c r="A181" s="78"/>
      <c r="B181" s="79"/>
      <c r="C181" s="78"/>
      <c r="D181" s="78"/>
      <c r="E181" s="78"/>
      <c r="F181" s="78"/>
      <c r="G181" s="81"/>
      <c r="H181" s="84"/>
      <c r="I181" s="82" t="str">
        <f t="shared" si="1"/>
        <v/>
      </c>
      <c r="J181" s="84"/>
      <c r="K181" s="78"/>
      <c r="L181" s="78"/>
      <c r="M181" s="78"/>
      <c r="N181" s="78"/>
      <c r="O181" s="78"/>
      <c r="P181" s="78"/>
      <c r="Q181" s="78"/>
      <c r="R181" s="82" t="str">
        <f t="shared" si="2"/>
        <v/>
      </c>
      <c r="S181" s="84">
        <v>500000.0</v>
      </c>
      <c r="T181" s="82" t="str">
        <f t="shared" si="3"/>
        <v/>
      </c>
      <c r="U181" s="83">
        <f t="shared" si="4"/>
        <v>0</v>
      </c>
      <c r="V181" s="83">
        <f t="shared" si="5"/>
        <v>0</v>
      </c>
      <c r="W181" s="83">
        <f t="shared" si="6"/>
        <v>0</v>
      </c>
      <c r="X181" s="78" t="s">
        <v>821</v>
      </c>
      <c r="Y181" s="78"/>
    </row>
    <row r="182" ht="15.75" customHeight="1">
      <c r="A182" s="78"/>
      <c r="B182" s="79"/>
      <c r="C182" s="78"/>
      <c r="D182" s="78"/>
      <c r="E182" s="78"/>
      <c r="F182" s="78"/>
      <c r="G182" s="81"/>
      <c r="H182" s="84"/>
      <c r="I182" s="82" t="str">
        <f t="shared" si="1"/>
        <v/>
      </c>
      <c r="J182" s="84"/>
      <c r="K182" s="78"/>
      <c r="L182" s="78"/>
      <c r="M182" s="78"/>
      <c r="N182" s="78"/>
      <c r="O182" s="78"/>
      <c r="P182" s="78"/>
      <c r="Q182" s="78"/>
      <c r="R182" s="82" t="str">
        <f t="shared" si="2"/>
        <v/>
      </c>
      <c r="S182" s="84">
        <v>500000.0</v>
      </c>
      <c r="T182" s="82" t="str">
        <f t="shared" si="3"/>
        <v/>
      </c>
      <c r="U182" s="83">
        <f t="shared" si="4"/>
        <v>0</v>
      </c>
      <c r="V182" s="83">
        <f t="shared" si="5"/>
        <v>0</v>
      </c>
      <c r="W182" s="83">
        <f t="shared" si="6"/>
        <v>0</v>
      </c>
      <c r="X182" s="78" t="s">
        <v>821</v>
      </c>
      <c r="Y182" s="78"/>
    </row>
    <row r="183" ht="15.75" customHeight="1">
      <c r="A183" s="78"/>
      <c r="B183" s="79"/>
      <c r="C183" s="78"/>
      <c r="D183" s="78"/>
      <c r="E183" s="78"/>
      <c r="F183" s="78"/>
      <c r="G183" s="81"/>
      <c r="H183" s="84"/>
      <c r="I183" s="82" t="str">
        <f t="shared" si="1"/>
        <v/>
      </c>
      <c r="J183" s="84"/>
      <c r="K183" s="78"/>
      <c r="L183" s="78"/>
      <c r="M183" s="78"/>
      <c r="N183" s="78"/>
      <c r="O183" s="78"/>
      <c r="P183" s="78"/>
      <c r="Q183" s="78"/>
      <c r="R183" s="82" t="str">
        <f t="shared" si="2"/>
        <v/>
      </c>
      <c r="S183" s="84">
        <v>500000.0</v>
      </c>
      <c r="T183" s="82" t="str">
        <f t="shared" si="3"/>
        <v/>
      </c>
      <c r="U183" s="83">
        <f t="shared" si="4"/>
        <v>0</v>
      </c>
      <c r="V183" s="83">
        <f t="shared" si="5"/>
        <v>0</v>
      </c>
      <c r="W183" s="83">
        <f t="shared" si="6"/>
        <v>0</v>
      </c>
      <c r="X183" s="78" t="s">
        <v>821</v>
      </c>
      <c r="Y183" s="78"/>
    </row>
    <row r="184" ht="15.75" customHeight="1">
      <c r="A184" s="78"/>
      <c r="B184" s="79"/>
      <c r="C184" s="78"/>
      <c r="D184" s="78"/>
      <c r="E184" s="78"/>
      <c r="F184" s="78"/>
      <c r="G184" s="81"/>
      <c r="H184" s="84"/>
      <c r="I184" s="82" t="str">
        <f t="shared" si="1"/>
        <v/>
      </c>
      <c r="J184" s="84"/>
      <c r="K184" s="78"/>
      <c r="L184" s="78"/>
      <c r="M184" s="78"/>
      <c r="N184" s="78"/>
      <c r="O184" s="78"/>
      <c r="P184" s="78"/>
      <c r="Q184" s="78"/>
      <c r="R184" s="82" t="str">
        <f t="shared" si="2"/>
        <v/>
      </c>
      <c r="S184" s="84">
        <v>500000.0</v>
      </c>
      <c r="T184" s="82" t="str">
        <f t="shared" si="3"/>
        <v/>
      </c>
      <c r="U184" s="83">
        <f t="shared" si="4"/>
        <v>0</v>
      </c>
      <c r="V184" s="83">
        <f t="shared" si="5"/>
        <v>0</v>
      </c>
      <c r="W184" s="83">
        <f t="shared" si="6"/>
        <v>0</v>
      </c>
      <c r="X184" s="78" t="s">
        <v>821</v>
      </c>
      <c r="Y184" s="78"/>
    </row>
    <row r="185" ht="15.75" customHeight="1">
      <c r="A185" s="78"/>
      <c r="B185" s="79"/>
      <c r="C185" s="78"/>
      <c r="D185" s="78"/>
      <c r="E185" s="78"/>
      <c r="F185" s="78"/>
      <c r="G185" s="81"/>
      <c r="H185" s="84"/>
      <c r="I185" s="82" t="str">
        <f t="shared" si="1"/>
        <v/>
      </c>
      <c r="J185" s="84"/>
      <c r="K185" s="78"/>
      <c r="L185" s="78"/>
      <c r="M185" s="78"/>
      <c r="N185" s="78"/>
      <c r="O185" s="78"/>
      <c r="P185" s="78"/>
      <c r="Q185" s="78"/>
      <c r="R185" s="82" t="str">
        <f t="shared" si="2"/>
        <v/>
      </c>
      <c r="S185" s="84">
        <v>500000.0</v>
      </c>
      <c r="T185" s="82" t="str">
        <f t="shared" si="3"/>
        <v/>
      </c>
      <c r="U185" s="83">
        <f t="shared" si="4"/>
        <v>0</v>
      </c>
      <c r="V185" s="83">
        <f t="shared" si="5"/>
        <v>0</v>
      </c>
      <c r="W185" s="83">
        <f t="shared" si="6"/>
        <v>0</v>
      </c>
      <c r="X185" s="78" t="s">
        <v>821</v>
      </c>
      <c r="Y185" s="78"/>
    </row>
    <row r="186" ht="15.75" customHeight="1">
      <c r="A186" s="78"/>
      <c r="B186" s="79"/>
      <c r="C186" s="78"/>
      <c r="D186" s="78"/>
      <c r="E186" s="78"/>
      <c r="F186" s="78"/>
      <c r="G186" s="81"/>
      <c r="H186" s="84"/>
      <c r="I186" s="82" t="str">
        <f t="shared" si="1"/>
        <v/>
      </c>
      <c r="J186" s="84"/>
      <c r="K186" s="78"/>
      <c r="L186" s="78"/>
      <c r="M186" s="78"/>
      <c r="N186" s="78"/>
      <c r="O186" s="78"/>
      <c r="P186" s="78"/>
      <c r="Q186" s="78"/>
      <c r="R186" s="82" t="str">
        <f t="shared" si="2"/>
        <v/>
      </c>
      <c r="S186" s="84">
        <v>500000.0</v>
      </c>
      <c r="T186" s="82" t="str">
        <f t="shared" si="3"/>
        <v/>
      </c>
      <c r="U186" s="83">
        <f t="shared" si="4"/>
        <v>0</v>
      </c>
      <c r="V186" s="83">
        <f t="shared" si="5"/>
        <v>0</v>
      </c>
      <c r="W186" s="83">
        <f t="shared" si="6"/>
        <v>0</v>
      </c>
      <c r="X186" s="78" t="s">
        <v>821</v>
      </c>
      <c r="Y186" s="78"/>
    </row>
    <row r="187" ht="15.75" customHeight="1">
      <c r="A187" s="78"/>
      <c r="B187" s="79"/>
      <c r="C187" s="78"/>
      <c r="D187" s="78"/>
      <c r="E187" s="78"/>
      <c r="F187" s="78"/>
      <c r="G187" s="81"/>
      <c r="H187" s="84"/>
      <c r="I187" s="82" t="str">
        <f t="shared" si="1"/>
        <v/>
      </c>
      <c r="J187" s="84"/>
      <c r="K187" s="78"/>
      <c r="L187" s="78"/>
      <c r="M187" s="78"/>
      <c r="N187" s="78"/>
      <c r="O187" s="78"/>
      <c r="P187" s="78"/>
      <c r="Q187" s="78"/>
      <c r="R187" s="82" t="str">
        <f t="shared" si="2"/>
        <v/>
      </c>
      <c r="S187" s="84">
        <v>500000.0</v>
      </c>
      <c r="T187" s="82" t="str">
        <f t="shared" si="3"/>
        <v/>
      </c>
      <c r="U187" s="83">
        <f t="shared" si="4"/>
        <v>0</v>
      </c>
      <c r="V187" s="83">
        <f t="shared" si="5"/>
        <v>0</v>
      </c>
      <c r="W187" s="83">
        <f t="shared" si="6"/>
        <v>0</v>
      </c>
      <c r="X187" s="78" t="s">
        <v>821</v>
      </c>
      <c r="Y187" s="78"/>
    </row>
    <row r="188" ht="15.75" customHeight="1">
      <c r="A188" s="78"/>
      <c r="B188" s="79"/>
      <c r="C188" s="78"/>
      <c r="D188" s="78"/>
      <c r="E188" s="78"/>
      <c r="F188" s="78"/>
      <c r="G188" s="81"/>
      <c r="H188" s="84"/>
      <c r="I188" s="82" t="str">
        <f t="shared" si="1"/>
        <v/>
      </c>
      <c r="J188" s="84"/>
      <c r="K188" s="78"/>
      <c r="L188" s="78"/>
      <c r="M188" s="78"/>
      <c r="N188" s="78"/>
      <c r="O188" s="78"/>
      <c r="P188" s="78"/>
      <c r="Q188" s="78"/>
      <c r="R188" s="82" t="str">
        <f t="shared" si="2"/>
        <v/>
      </c>
      <c r="S188" s="84">
        <v>500000.0</v>
      </c>
      <c r="T188" s="82" t="str">
        <f t="shared" si="3"/>
        <v/>
      </c>
      <c r="U188" s="83">
        <f t="shared" si="4"/>
        <v>0</v>
      </c>
      <c r="V188" s="83">
        <f t="shared" si="5"/>
        <v>0</v>
      </c>
      <c r="W188" s="83">
        <f t="shared" si="6"/>
        <v>0</v>
      </c>
      <c r="X188" s="78" t="s">
        <v>821</v>
      </c>
      <c r="Y188" s="78"/>
    </row>
    <row r="189" ht="15.75" customHeight="1">
      <c r="A189" s="78"/>
      <c r="B189" s="79"/>
      <c r="C189" s="78"/>
      <c r="D189" s="78"/>
      <c r="E189" s="78"/>
      <c r="F189" s="78"/>
      <c r="G189" s="81"/>
      <c r="H189" s="84"/>
      <c r="I189" s="82" t="str">
        <f t="shared" si="1"/>
        <v/>
      </c>
      <c r="J189" s="84"/>
      <c r="K189" s="78"/>
      <c r="L189" s="78"/>
      <c r="M189" s="78"/>
      <c r="N189" s="78"/>
      <c r="O189" s="78"/>
      <c r="P189" s="78"/>
      <c r="Q189" s="78"/>
      <c r="R189" s="82" t="str">
        <f t="shared" si="2"/>
        <v/>
      </c>
      <c r="S189" s="84">
        <v>500000.0</v>
      </c>
      <c r="T189" s="82" t="str">
        <f t="shared" si="3"/>
        <v/>
      </c>
      <c r="U189" s="83">
        <f t="shared" si="4"/>
        <v>0</v>
      </c>
      <c r="V189" s="83">
        <f t="shared" si="5"/>
        <v>0</v>
      </c>
      <c r="W189" s="83">
        <f t="shared" si="6"/>
        <v>0</v>
      </c>
      <c r="X189" s="78" t="s">
        <v>821</v>
      </c>
      <c r="Y189" s="78"/>
    </row>
    <row r="190" ht="15.75" customHeight="1">
      <c r="A190" s="78"/>
      <c r="B190" s="79"/>
      <c r="C190" s="78"/>
      <c r="D190" s="78"/>
      <c r="E190" s="78"/>
      <c r="F190" s="78"/>
      <c r="G190" s="81"/>
      <c r="H190" s="84"/>
      <c r="I190" s="82" t="str">
        <f t="shared" si="1"/>
        <v/>
      </c>
      <c r="J190" s="84"/>
      <c r="K190" s="78"/>
      <c r="L190" s="78"/>
      <c r="M190" s="78"/>
      <c r="N190" s="78"/>
      <c r="O190" s="78"/>
      <c r="P190" s="78"/>
      <c r="Q190" s="78"/>
      <c r="R190" s="82" t="str">
        <f t="shared" si="2"/>
        <v/>
      </c>
      <c r="S190" s="84">
        <v>500000.0</v>
      </c>
      <c r="T190" s="82" t="str">
        <f t="shared" si="3"/>
        <v/>
      </c>
      <c r="U190" s="83">
        <f t="shared" si="4"/>
        <v>0</v>
      </c>
      <c r="V190" s="83">
        <f t="shared" si="5"/>
        <v>0</v>
      </c>
      <c r="W190" s="83">
        <f t="shared" si="6"/>
        <v>0</v>
      </c>
      <c r="X190" s="78" t="s">
        <v>821</v>
      </c>
      <c r="Y190" s="78"/>
    </row>
    <row r="191" ht="15.75" customHeight="1">
      <c r="A191" s="78"/>
      <c r="B191" s="79"/>
      <c r="C191" s="78"/>
      <c r="D191" s="78"/>
      <c r="E191" s="78"/>
      <c r="F191" s="78"/>
      <c r="G191" s="81"/>
      <c r="H191" s="84"/>
      <c r="I191" s="82" t="str">
        <f t="shared" si="1"/>
        <v/>
      </c>
      <c r="J191" s="84"/>
      <c r="K191" s="78"/>
      <c r="L191" s="78"/>
      <c r="M191" s="78"/>
      <c r="N191" s="78"/>
      <c r="O191" s="78"/>
      <c r="P191" s="78"/>
      <c r="Q191" s="78"/>
      <c r="R191" s="82" t="str">
        <f t="shared" si="2"/>
        <v/>
      </c>
      <c r="S191" s="84">
        <v>500000.0</v>
      </c>
      <c r="T191" s="82" t="str">
        <f t="shared" si="3"/>
        <v/>
      </c>
      <c r="U191" s="83">
        <f t="shared" si="4"/>
        <v>0</v>
      </c>
      <c r="V191" s="83">
        <f t="shared" si="5"/>
        <v>0</v>
      </c>
      <c r="W191" s="83">
        <f t="shared" si="6"/>
        <v>0</v>
      </c>
      <c r="X191" s="78" t="s">
        <v>821</v>
      </c>
      <c r="Y191" s="78"/>
    </row>
    <row r="192" ht="15.75" customHeight="1">
      <c r="A192" s="78"/>
      <c r="B192" s="79"/>
      <c r="C192" s="78"/>
      <c r="D192" s="78"/>
      <c r="E192" s="78"/>
      <c r="F192" s="78"/>
      <c r="G192" s="81"/>
      <c r="H192" s="84"/>
      <c r="I192" s="82" t="str">
        <f t="shared" si="1"/>
        <v/>
      </c>
      <c r="J192" s="84"/>
      <c r="K192" s="78"/>
      <c r="L192" s="78"/>
      <c r="M192" s="78"/>
      <c r="N192" s="78"/>
      <c r="O192" s="78"/>
      <c r="P192" s="78"/>
      <c r="Q192" s="78"/>
      <c r="R192" s="82" t="str">
        <f t="shared" si="2"/>
        <v/>
      </c>
      <c r="S192" s="84">
        <v>500000.0</v>
      </c>
      <c r="T192" s="82" t="str">
        <f t="shared" si="3"/>
        <v/>
      </c>
      <c r="U192" s="83">
        <f t="shared" si="4"/>
        <v>0</v>
      </c>
      <c r="V192" s="83">
        <f t="shared" si="5"/>
        <v>0</v>
      </c>
      <c r="W192" s="83">
        <f t="shared" si="6"/>
        <v>0</v>
      </c>
      <c r="X192" s="78" t="s">
        <v>821</v>
      </c>
      <c r="Y192" s="78"/>
    </row>
    <row r="193" ht="15.75" customHeight="1">
      <c r="A193" s="78"/>
      <c r="B193" s="79"/>
      <c r="C193" s="78"/>
      <c r="D193" s="78"/>
      <c r="E193" s="78"/>
      <c r="F193" s="78"/>
      <c r="G193" s="81"/>
      <c r="H193" s="84"/>
      <c r="I193" s="82" t="str">
        <f t="shared" si="1"/>
        <v/>
      </c>
      <c r="J193" s="84"/>
      <c r="K193" s="78"/>
      <c r="L193" s="78"/>
      <c r="M193" s="78"/>
      <c r="N193" s="78"/>
      <c r="O193" s="78"/>
      <c r="P193" s="78"/>
      <c r="Q193" s="78"/>
      <c r="R193" s="82" t="str">
        <f t="shared" si="2"/>
        <v/>
      </c>
      <c r="S193" s="84">
        <v>500000.0</v>
      </c>
      <c r="T193" s="82" t="str">
        <f t="shared" si="3"/>
        <v/>
      </c>
      <c r="U193" s="83">
        <f t="shared" si="4"/>
        <v>0</v>
      </c>
      <c r="V193" s="83">
        <f t="shared" si="5"/>
        <v>0</v>
      </c>
      <c r="W193" s="83">
        <f t="shared" si="6"/>
        <v>0</v>
      </c>
      <c r="X193" s="78" t="s">
        <v>821</v>
      </c>
      <c r="Y193" s="78"/>
    </row>
    <row r="194" ht="15.75" customHeight="1">
      <c r="A194" s="78"/>
      <c r="B194" s="79"/>
      <c r="C194" s="78"/>
      <c r="D194" s="78"/>
      <c r="E194" s="78"/>
      <c r="F194" s="78"/>
      <c r="G194" s="81"/>
      <c r="H194" s="84"/>
      <c r="I194" s="82" t="str">
        <f t="shared" si="1"/>
        <v/>
      </c>
      <c r="J194" s="84"/>
      <c r="K194" s="78"/>
      <c r="L194" s="78"/>
      <c r="M194" s="78"/>
      <c r="N194" s="78"/>
      <c r="O194" s="78"/>
      <c r="P194" s="78"/>
      <c r="Q194" s="78"/>
      <c r="R194" s="82" t="str">
        <f t="shared" si="2"/>
        <v/>
      </c>
      <c r="S194" s="84">
        <v>500000.0</v>
      </c>
      <c r="T194" s="82" t="str">
        <f t="shared" si="3"/>
        <v/>
      </c>
      <c r="U194" s="83">
        <f t="shared" si="4"/>
        <v>0</v>
      </c>
      <c r="V194" s="83">
        <f t="shared" si="5"/>
        <v>0</v>
      </c>
      <c r="W194" s="83">
        <f t="shared" si="6"/>
        <v>0</v>
      </c>
      <c r="X194" s="78" t="s">
        <v>821</v>
      </c>
      <c r="Y194" s="78"/>
    </row>
    <row r="195" ht="15.75" customHeight="1">
      <c r="A195" s="78"/>
      <c r="B195" s="79"/>
      <c r="C195" s="78"/>
      <c r="D195" s="78"/>
      <c r="E195" s="78"/>
      <c r="F195" s="78"/>
      <c r="G195" s="81"/>
      <c r="H195" s="84"/>
      <c r="I195" s="82" t="str">
        <f t="shared" si="1"/>
        <v/>
      </c>
      <c r="J195" s="84"/>
      <c r="K195" s="78"/>
      <c r="L195" s="78"/>
      <c r="M195" s="78"/>
      <c r="N195" s="78"/>
      <c r="O195" s="78"/>
      <c r="P195" s="78"/>
      <c r="Q195" s="78"/>
      <c r="R195" s="82" t="str">
        <f t="shared" si="2"/>
        <v/>
      </c>
      <c r="S195" s="84">
        <v>500000.0</v>
      </c>
      <c r="T195" s="82" t="str">
        <f t="shared" si="3"/>
        <v/>
      </c>
      <c r="U195" s="83">
        <f t="shared" si="4"/>
        <v>0</v>
      </c>
      <c r="V195" s="83">
        <f t="shared" si="5"/>
        <v>0</v>
      </c>
      <c r="W195" s="83">
        <f t="shared" si="6"/>
        <v>0</v>
      </c>
      <c r="X195" s="78" t="s">
        <v>821</v>
      </c>
      <c r="Y195" s="78"/>
    </row>
    <row r="196" ht="15.75" customHeight="1">
      <c r="A196" s="78"/>
      <c r="B196" s="79"/>
      <c r="C196" s="78"/>
      <c r="D196" s="78"/>
      <c r="E196" s="78"/>
      <c r="F196" s="78"/>
      <c r="G196" s="81"/>
      <c r="H196" s="84"/>
      <c r="I196" s="82" t="str">
        <f t="shared" si="1"/>
        <v/>
      </c>
      <c r="J196" s="84"/>
      <c r="K196" s="78"/>
      <c r="L196" s="78"/>
      <c r="M196" s="78"/>
      <c r="N196" s="78"/>
      <c r="O196" s="78"/>
      <c r="P196" s="78"/>
      <c r="Q196" s="78"/>
      <c r="R196" s="82" t="str">
        <f t="shared" si="2"/>
        <v/>
      </c>
      <c r="S196" s="84">
        <v>500000.0</v>
      </c>
      <c r="T196" s="82" t="str">
        <f t="shared" si="3"/>
        <v/>
      </c>
      <c r="U196" s="83">
        <f t="shared" si="4"/>
        <v>0</v>
      </c>
      <c r="V196" s="83">
        <f t="shared" si="5"/>
        <v>0</v>
      </c>
      <c r="W196" s="83">
        <f t="shared" si="6"/>
        <v>0</v>
      </c>
      <c r="X196" s="78" t="s">
        <v>821</v>
      </c>
      <c r="Y196" s="78"/>
    </row>
    <row r="197" ht="15.75" customHeight="1">
      <c r="A197" s="78"/>
      <c r="B197" s="79"/>
      <c r="C197" s="78"/>
      <c r="D197" s="78"/>
      <c r="E197" s="78"/>
      <c r="F197" s="78"/>
      <c r="G197" s="81"/>
      <c r="H197" s="84"/>
      <c r="I197" s="82" t="str">
        <f t="shared" si="1"/>
        <v/>
      </c>
      <c r="J197" s="84"/>
      <c r="K197" s="78"/>
      <c r="L197" s="78"/>
      <c r="M197" s="78"/>
      <c r="N197" s="78"/>
      <c r="O197" s="78"/>
      <c r="P197" s="78"/>
      <c r="Q197" s="78"/>
      <c r="R197" s="82" t="str">
        <f t="shared" si="2"/>
        <v/>
      </c>
      <c r="S197" s="84">
        <v>500000.0</v>
      </c>
      <c r="T197" s="82" t="str">
        <f t="shared" si="3"/>
        <v/>
      </c>
      <c r="U197" s="83">
        <f t="shared" si="4"/>
        <v>0</v>
      </c>
      <c r="V197" s="83">
        <f t="shared" si="5"/>
        <v>0</v>
      </c>
      <c r="W197" s="83">
        <f t="shared" si="6"/>
        <v>0</v>
      </c>
      <c r="X197" s="78" t="s">
        <v>821</v>
      </c>
      <c r="Y197" s="78"/>
    </row>
    <row r="198" ht="15.75" customHeight="1">
      <c r="A198" s="78"/>
      <c r="B198" s="79"/>
      <c r="C198" s="78"/>
      <c r="D198" s="78"/>
      <c r="E198" s="78"/>
      <c r="F198" s="78"/>
      <c r="G198" s="81"/>
      <c r="H198" s="84"/>
      <c r="I198" s="82" t="str">
        <f t="shared" si="1"/>
        <v/>
      </c>
      <c r="J198" s="84"/>
      <c r="K198" s="78"/>
      <c r="L198" s="78"/>
      <c r="M198" s="78"/>
      <c r="N198" s="78"/>
      <c r="O198" s="78"/>
      <c r="P198" s="78"/>
      <c r="Q198" s="78"/>
      <c r="R198" s="82" t="str">
        <f t="shared" si="2"/>
        <v/>
      </c>
      <c r="S198" s="84">
        <v>500000.0</v>
      </c>
      <c r="T198" s="82" t="str">
        <f t="shared" si="3"/>
        <v/>
      </c>
      <c r="U198" s="83">
        <f t="shared" si="4"/>
        <v>0</v>
      </c>
      <c r="V198" s="83">
        <f t="shared" si="5"/>
        <v>0</v>
      </c>
      <c r="W198" s="83">
        <f t="shared" si="6"/>
        <v>0</v>
      </c>
      <c r="X198" s="78" t="s">
        <v>821</v>
      </c>
      <c r="Y198" s="78"/>
    </row>
    <row r="199" ht="15.75" customHeight="1">
      <c r="A199" s="78"/>
      <c r="B199" s="79"/>
      <c r="C199" s="78"/>
      <c r="D199" s="78"/>
      <c r="E199" s="78"/>
      <c r="F199" s="78"/>
      <c r="G199" s="81"/>
      <c r="H199" s="84"/>
      <c r="I199" s="82" t="str">
        <f t="shared" si="1"/>
        <v/>
      </c>
      <c r="J199" s="84"/>
      <c r="K199" s="78"/>
      <c r="L199" s="78"/>
      <c r="M199" s="78"/>
      <c r="N199" s="78"/>
      <c r="O199" s="78"/>
      <c r="P199" s="78"/>
      <c r="Q199" s="78"/>
      <c r="R199" s="82" t="str">
        <f t="shared" si="2"/>
        <v/>
      </c>
      <c r="S199" s="84">
        <v>500000.0</v>
      </c>
      <c r="T199" s="82" t="str">
        <f t="shared" si="3"/>
        <v/>
      </c>
      <c r="U199" s="83">
        <f t="shared" si="4"/>
        <v>0</v>
      </c>
      <c r="V199" s="83">
        <f t="shared" si="5"/>
        <v>0</v>
      </c>
      <c r="W199" s="83">
        <f t="shared" si="6"/>
        <v>0</v>
      </c>
      <c r="X199" s="78" t="s">
        <v>821</v>
      </c>
      <c r="Y199" s="78"/>
    </row>
    <row r="200" ht="15.75" customHeight="1">
      <c r="A200" s="78"/>
      <c r="B200" s="79"/>
      <c r="C200" s="78"/>
      <c r="D200" s="78"/>
      <c r="E200" s="78"/>
      <c r="F200" s="78"/>
      <c r="G200" s="81"/>
      <c r="H200" s="84"/>
      <c r="I200" s="82" t="str">
        <f t="shared" si="1"/>
        <v/>
      </c>
      <c r="J200" s="84"/>
      <c r="K200" s="78"/>
      <c r="L200" s="78"/>
      <c r="M200" s="78"/>
      <c r="N200" s="78"/>
      <c r="O200" s="78"/>
      <c r="P200" s="78"/>
      <c r="Q200" s="78"/>
      <c r="R200" s="82" t="str">
        <f t="shared" si="2"/>
        <v/>
      </c>
      <c r="S200" s="84">
        <v>500000.0</v>
      </c>
      <c r="T200" s="82" t="str">
        <f t="shared" si="3"/>
        <v/>
      </c>
      <c r="U200" s="83">
        <f t="shared" si="4"/>
        <v>0</v>
      </c>
      <c r="V200" s="83">
        <f t="shared" si="5"/>
        <v>0</v>
      </c>
      <c r="W200" s="83">
        <f t="shared" si="6"/>
        <v>0</v>
      </c>
      <c r="X200" s="78" t="s">
        <v>821</v>
      </c>
      <c r="Y200" s="78"/>
    </row>
    <row r="201" ht="15.75" customHeight="1">
      <c r="A201" s="78"/>
      <c r="B201" s="79"/>
      <c r="C201" s="78"/>
      <c r="D201" s="78"/>
      <c r="E201" s="78"/>
      <c r="F201" s="78"/>
      <c r="G201" s="81"/>
      <c r="H201" s="84"/>
      <c r="I201" s="82" t="str">
        <f t="shared" si="1"/>
        <v/>
      </c>
      <c r="J201" s="84"/>
      <c r="K201" s="78"/>
      <c r="L201" s="78"/>
      <c r="M201" s="78"/>
      <c r="N201" s="78"/>
      <c r="O201" s="78"/>
      <c r="P201" s="78"/>
      <c r="Q201" s="78"/>
      <c r="R201" s="82" t="str">
        <f t="shared" si="2"/>
        <v/>
      </c>
      <c r="S201" s="84">
        <v>500000.0</v>
      </c>
      <c r="T201" s="82" t="str">
        <f t="shared" si="3"/>
        <v/>
      </c>
      <c r="U201" s="83">
        <f t="shared" si="4"/>
        <v>0</v>
      </c>
      <c r="V201" s="83">
        <f t="shared" si="5"/>
        <v>0</v>
      </c>
      <c r="W201" s="83">
        <f t="shared" si="6"/>
        <v>0</v>
      </c>
      <c r="X201" s="78" t="s">
        <v>821</v>
      </c>
      <c r="Y201" s="78"/>
    </row>
    <row r="202" ht="15.75" customHeight="1">
      <c r="A202" s="78"/>
      <c r="B202" s="79"/>
      <c r="C202" s="78"/>
      <c r="D202" s="78"/>
      <c r="E202" s="78"/>
      <c r="F202" s="78"/>
      <c r="G202" s="81"/>
      <c r="H202" s="84"/>
      <c r="I202" s="82" t="str">
        <f t="shared" si="1"/>
        <v/>
      </c>
      <c r="J202" s="84"/>
      <c r="K202" s="78"/>
      <c r="L202" s="78"/>
      <c r="M202" s="78"/>
      <c r="N202" s="78"/>
      <c r="O202" s="78"/>
      <c r="P202" s="78"/>
      <c r="Q202" s="78"/>
      <c r="R202" s="82" t="str">
        <f t="shared" si="2"/>
        <v/>
      </c>
      <c r="S202" s="84">
        <v>500000.0</v>
      </c>
      <c r="T202" s="82" t="str">
        <f t="shared" si="3"/>
        <v/>
      </c>
      <c r="U202" s="83">
        <f t="shared" si="4"/>
        <v>0</v>
      </c>
      <c r="V202" s="83">
        <f t="shared" si="5"/>
        <v>0</v>
      </c>
      <c r="W202" s="83">
        <f t="shared" si="6"/>
        <v>0</v>
      </c>
      <c r="X202" s="78" t="s">
        <v>821</v>
      </c>
      <c r="Y202" s="78"/>
    </row>
    <row r="203" ht="15.75" customHeight="1">
      <c r="A203" s="78"/>
      <c r="B203" s="79"/>
      <c r="C203" s="78"/>
      <c r="D203" s="78"/>
      <c r="E203" s="78"/>
      <c r="F203" s="78"/>
      <c r="G203" s="81"/>
      <c r="H203" s="84"/>
      <c r="I203" s="82" t="str">
        <f t="shared" si="1"/>
        <v/>
      </c>
      <c r="J203" s="84"/>
      <c r="K203" s="78"/>
      <c r="L203" s="78"/>
      <c r="M203" s="78"/>
      <c r="N203" s="78"/>
      <c r="O203" s="78"/>
      <c r="P203" s="78"/>
      <c r="Q203" s="78"/>
      <c r="R203" s="82" t="str">
        <f t="shared" si="2"/>
        <v/>
      </c>
      <c r="S203" s="84">
        <v>500000.0</v>
      </c>
      <c r="T203" s="82" t="str">
        <f t="shared" si="3"/>
        <v/>
      </c>
      <c r="U203" s="83">
        <f t="shared" si="4"/>
        <v>0</v>
      </c>
      <c r="V203" s="83">
        <f t="shared" si="5"/>
        <v>0</v>
      </c>
      <c r="W203" s="83">
        <f t="shared" si="6"/>
        <v>0</v>
      </c>
      <c r="X203" s="78" t="s">
        <v>821</v>
      </c>
      <c r="Y203" s="78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Y1"/>
    <mergeCell ref="A2:Y2"/>
  </mergeCells>
  <dataValidations>
    <dataValidation type="list" allowBlank="1" sqref="D4:D203">
      <formula1>Lists!$J$2:$J$8</formula1>
    </dataValidation>
    <dataValidation type="list" allowBlank="1" sqref="X4:X203">
      <formula1>"Chưa chạy,Đang chạy,Hoàn tất,Theo dõi,Tạm dừng"</formula1>
    </dataValidation>
    <dataValidation type="list" allowBlank="1" sqref="F4:F203">
      <formula1>Lists!$Q$2:$Q$8</formula1>
    </dataValidation>
    <dataValidation type="list" allowBlank="1" sqref="E4:E203">
      <formula1>Lists!$P$2:$P$10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34.0"/>
    <col customWidth="1" min="4" max="6" width="14.0"/>
    <col customWidth="1" min="7" max="7" width="24.0"/>
    <col customWidth="1" min="8" max="9" width="34.0"/>
    <col customWidth="1" min="10" max="10" width="16.0"/>
    <col customWidth="1" min="11" max="11" width="32.0"/>
    <col customWidth="1" min="12" max="26" width="8.63"/>
  </cols>
  <sheetData>
    <row r="1" ht="24.0" customHeight="1">
      <c r="A1" s="71" t="s">
        <v>830</v>
      </c>
    </row>
    <row r="2" ht="24.0" customHeight="1">
      <c r="A2" s="72" t="s">
        <v>831</v>
      </c>
    </row>
    <row r="3" ht="24.0" customHeight="1">
      <c r="A3" s="77" t="s">
        <v>832</v>
      </c>
      <c r="B3" s="77" t="s">
        <v>833</v>
      </c>
      <c r="C3" s="77" t="s">
        <v>834</v>
      </c>
      <c r="D3" s="77" t="s">
        <v>835</v>
      </c>
      <c r="E3" s="77" t="s">
        <v>836</v>
      </c>
      <c r="F3" s="77" t="s">
        <v>837</v>
      </c>
      <c r="G3" s="77" t="s">
        <v>838</v>
      </c>
      <c r="H3" s="77" t="s">
        <v>839</v>
      </c>
      <c r="I3" s="77" t="s">
        <v>665</v>
      </c>
      <c r="J3" s="77" t="s">
        <v>840</v>
      </c>
      <c r="K3" s="77" t="s">
        <v>841</v>
      </c>
    </row>
    <row r="4">
      <c r="A4" s="85" t="s">
        <v>553</v>
      </c>
      <c r="B4" s="85" t="s">
        <v>842</v>
      </c>
      <c r="C4" s="85" t="s">
        <v>843</v>
      </c>
      <c r="D4" s="86">
        <v>0.0</v>
      </c>
      <c r="E4" s="86">
        <v>0.0</v>
      </c>
      <c r="F4" s="86">
        <v>0.0</v>
      </c>
      <c r="G4" s="85" t="s">
        <v>844</v>
      </c>
      <c r="H4" s="85" t="s">
        <v>845</v>
      </c>
      <c r="I4" s="85" t="s">
        <v>846</v>
      </c>
      <c r="J4" s="85" t="s">
        <v>847</v>
      </c>
      <c r="K4" s="85" t="s">
        <v>848</v>
      </c>
    </row>
    <row r="5">
      <c r="A5" s="85" t="s">
        <v>635</v>
      </c>
      <c r="B5" s="85" t="s">
        <v>849</v>
      </c>
      <c r="C5" s="85" t="s">
        <v>850</v>
      </c>
      <c r="D5" s="86">
        <v>20000.0</v>
      </c>
      <c r="E5" s="86">
        <v>25000.0</v>
      </c>
      <c r="F5" s="86">
        <v>0.0</v>
      </c>
      <c r="G5" s="85" t="s">
        <v>851</v>
      </c>
      <c r="H5" s="85" t="s">
        <v>852</v>
      </c>
      <c r="I5" s="85" t="s">
        <v>853</v>
      </c>
      <c r="J5" s="85" t="s">
        <v>854</v>
      </c>
      <c r="K5" s="85" t="s">
        <v>855</v>
      </c>
    </row>
    <row r="6">
      <c r="A6" s="85" t="s">
        <v>642</v>
      </c>
      <c r="B6" s="85" t="s">
        <v>856</v>
      </c>
      <c r="C6" s="85" t="s">
        <v>857</v>
      </c>
      <c r="D6" s="86">
        <v>30000.0</v>
      </c>
      <c r="E6" s="86">
        <v>40000.0</v>
      </c>
      <c r="F6" s="86">
        <v>2000.0</v>
      </c>
      <c r="G6" s="85" t="s">
        <v>858</v>
      </c>
      <c r="H6" s="85" t="s">
        <v>859</v>
      </c>
      <c r="I6" s="85" t="s">
        <v>860</v>
      </c>
      <c r="J6" s="85" t="s">
        <v>861</v>
      </c>
      <c r="K6" s="85" t="s">
        <v>608</v>
      </c>
    </row>
    <row r="7">
      <c r="A7" s="85" t="s">
        <v>774</v>
      </c>
      <c r="B7" s="85" t="s">
        <v>862</v>
      </c>
      <c r="C7" s="85" t="s">
        <v>863</v>
      </c>
      <c r="D7" s="86">
        <v>40000.0</v>
      </c>
      <c r="E7" s="86">
        <v>50000.0</v>
      </c>
      <c r="F7" s="86">
        <v>3000.0</v>
      </c>
      <c r="G7" s="85" t="s">
        <v>864</v>
      </c>
      <c r="H7" s="85" t="s">
        <v>865</v>
      </c>
      <c r="I7" s="85" t="s">
        <v>866</v>
      </c>
      <c r="J7" s="85" t="s">
        <v>861</v>
      </c>
      <c r="K7" s="85" t="s">
        <v>867</v>
      </c>
    </row>
    <row r="8">
      <c r="A8" s="85" t="s">
        <v>868</v>
      </c>
      <c r="B8" s="85" t="s">
        <v>869</v>
      </c>
      <c r="C8" s="85" t="s">
        <v>870</v>
      </c>
      <c r="D8" s="86">
        <v>50000.0</v>
      </c>
      <c r="E8" s="86">
        <v>60000.0</v>
      </c>
      <c r="F8" s="86">
        <v>5000.0</v>
      </c>
      <c r="G8" s="85" t="s">
        <v>871</v>
      </c>
      <c r="H8" s="85" t="s">
        <v>872</v>
      </c>
      <c r="I8" s="85" t="s">
        <v>873</v>
      </c>
      <c r="J8" s="85" t="s">
        <v>861</v>
      </c>
      <c r="K8" s="85" t="s">
        <v>874</v>
      </c>
    </row>
    <row r="9">
      <c r="A9" s="85" t="s">
        <v>660</v>
      </c>
      <c r="B9" s="85" t="s">
        <v>875</v>
      </c>
      <c r="C9" s="85" t="s">
        <v>876</v>
      </c>
      <c r="D9" s="86">
        <v>55000.0</v>
      </c>
      <c r="E9" s="86">
        <v>65000.0</v>
      </c>
      <c r="F9" s="86">
        <v>5000.0</v>
      </c>
      <c r="G9" s="85" t="s">
        <v>877</v>
      </c>
      <c r="H9" s="85" t="s">
        <v>878</v>
      </c>
      <c r="I9" s="85" t="s">
        <v>879</v>
      </c>
      <c r="J9" s="85" t="s">
        <v>880</v>
      </c>
      <c r="K9" s="85" t="s">
        <v>881</v>
      </c>
    </row>
    <row r="10">
      <c r="A10" s="85" t="s">
        <v>727</v>
      </c>
      <c r="B10" s="85" t="s">
        <v>882</v>
      </c>
      <c r="C10" s="85" t="s">
        <v>883</v>
      </c>
      <c r="D10" s="86">
        <v>40000.0</v>
      </c>
      <c r="E10" s="86">
        <v>50000.0</v>
      </c>
      <c r="F10" s="86">
        <v>3000.0</v>
      </c>
      <c r="G10" s="85" t="s">
        <v>884</v>
      </c>
      <c r="H10" s="85" t="s">
        <v>885</v>
      </c>
      <c r="I10" s="85" t="s">
        <v>886</v>
      </c>
      <c r="J10" s="85" t="s">
        <v>861</v>
      </c>
      <c r="K10" s="85" t="s">
        <v>887</v>
      </c>
    </row>
    <row r="11">
      <c r="A11" s="85" t="s">
        <v>738</v>
      </c>
      <c r="B11" s="85" t="s">
        <v>888</v>
      </c>
      <c r="C11" s="85" t="s">
        <v>889</v>
      </c>
      <c r="D11" s="86">
        <v>45000.0</v>
      </c>
      <c r="E11" s="86">
        <v>55000.0</v>
      </c>
      <c r="F11" s="86">
        <v>4000.0</v>
      </c>
      <c r="G11" s="85" t="s">
        <v>890</v>
      </c>
      <c r="H11" s="85" t="s">
        <v>891</v>
      </c>
      <c r="I11" s="85" t="s">
        <v>892</v>
      </c>
      <c r="J11" s="85" t="s">
        <v>861</v>
      </c>
      <c r="K11" s="85" t="s">
        <v>893</v>
      </c>
    </row>
    <row r="12">
      <c r="A12" s="85" t="s">
        <v>894</v>
      </c>
      <c r="B12" s="85" t="s">
        <v>895</v>
      </c>
      <c r="C12" s="85" t="s">
        <v>896</v>
      </c>
      <c r="D12" s="86">
        <v>50000.0</v>
      </c>
      <c r="E12" s="86">
        <v>60000.0</v>
      </c>
      <c r="F12" s="86">
        <v>5000.0</v>
      </c>
      <c r="G12" s="85" t="s">
        <v>897</v>
      </c>
      <c r="H12" s="85" t="s">
        <v>898</v>
      </c>
      <c r="I12" s="85" t="s">
        <v>899</v>
      </c>
      <c r="J12" s="85" t="s">
        <v>880</v>
      </c>
      <c r="K12" s="85" t="s">
        <v>900</v>
      </c>
    </row>
    <row r="13">
      <c r="A13" s="85" t="s">
        <v>901</v>
      </c>
      <c r="B13" s="85" t="s">
        <v>902</v>
      </c>
      <c r="C13" s="85" t="s">
        <v>903</v>
      </c>
      <c r="D13" s="86">
        <v>60000.0</v>
      </c>
      <c r="E13" s="86">
        <v>70000.0</v>
      </c>
      <c r="F13" s="86">
        <v>6000.0</v>
      </c>
      <c r="G13" s="85" t="s">
        <v>904</v>
      </c>
      <c r="H13" s="85" t="s">
        <v>905</v>
      </c>
      <c r="I13" s="85" t="s">
        <v>906</v>
      </c>
      <c r="J13" s="85" t="s">
        <v>904</v>
      </c>
      <c r="K13" s="85" t="s">
        <v>907</v>
      </c>
    </row>
    <row r="14">
      <c r="A14" s="73"/>
      <c r="B14" s="73"/>
      <c r="C14" s="73"/>
      <c r="D14" s="87"/>
      <c r="E14" s="87"/>
      <c r="F14" s="87"/>
      <c r="G14" s="73"/>
      <c r="H14" s="73"/>
      <c r="I14" s="73"/>
      <c r="J14" s="73"/>
      <c r="K14" s="73"/>
    </row>
    <row r="15">
      <c r="A15" s="73"/>
      <c r="B15" s="73"/>
      <c r="C15" s="73"/>
      <c r="D15" s="87"/>
      <c r="E15" s="87"/>
      <c r="F15" s="87"/>
      <c r="G15" s="73"/>
      <c r="H15" s="73"/>
      <c r="I15" s="73"/>
      <c r="J15" s="73"/>
      <c r="K15" s="73"/>
    </row>
    <row r="16">
      <c r="A16" s="73"/>
      <c r="B16" s="73"/>
      <c r="C16" s="73"/>
      <c r="D16" s="87"/>
      <c r="E16" s="87"/>
      <c r="F16" s="87"/>
      <c r="G16" s="73"/>
      <c r="H16" s="73"/>
      <c r="I16" s="73"/>
      <c r="J16" s="73"/>
      <c r="K16" s="73"/>
    </row>
    <row r="17">
      <c r="A17" s="73"/>
      <c r="B17" s="73"/>
      <c r="C17" s="73"/>
      <c r="D17" s="87"/>
      <c r="E17" s="87"/>
      <c r="F17" s="87"/>
      <c r="G17" s="73"/>
      <c r="H17" s="73"/>
      <c r="I17" s="73"/>
      <c r="J17" s="73"/>
      <c r="K17" s="73"/>
    </row>
    <row r="18">
      <c r="A18" s="73"/>
      <c r="B18" s="73"/>
      <c r="C18" s="73"/>
      <c r="D18" s="87"/>
      <c r="E18" s="87"/>
      <c r="F18" s="87"/>
      <c r="G18" s="73"/>
      <c r="H18" s="73"/>
      <c r="I18" s="73"/>
      <c r="J18" s="73"/>
      <c r="K18" s="73"/>
    </row>
    <row r="19">
      <c r="A19" s="73"/>
      <c r="B19" s="73"/>
      <c r="C19" s="73"/>
      <c r="D19" s="87"/>
      <c r="E19" s="87"/>
      <c r="F19" s="87"/>
      <c r="G19" s="73"/>
      <c r="H19" s="73"/>
      <c r="I19" s="73"/>
      <c r="J19" s="73"/>
      <c r="K19" s="73"/>
    </row>
    <row r="20">
      <c r="A20" s="73"/>
      <c r="B20" s="73"/>
      <c r="C20" s="73"/>
      <c r="D20" s="87"/>
      <c r="E20" s="87"/>
      <c r="F20" s="87"/>
      <c r="G20" s="73"/>
      <c r="H20" s="73"/>
      <c r="I20" s="73"/>
      <c r="J20" s="73"/>
      <c r="K20" s="7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18.0"/>
    <col customWidth="1" min="4" max="4" width="14.0"/>
    <col customWidth="1" min="5" max="5" width="38.0"/>
    <col customWidth="1" min="6" max="6" width="4.0"/>
    <col customWidth="1" min="7" max="7" width="28.0"/>
    <col customWidth="1" min="8" max="9" width="18.0"/>
    <col customWidth="1" min="10" max="10" width="38.0"/>
    <col customWidth="1" min="11" max="14" width="4.0"/>
    <col customWidth="1" min="15" max="26" width="8.63"/>
  </cols>
  <sheetData>
    <row r="1" ht="24.0" customHeight="1">
      <c r="A1" s="71" t="s">
        <v>908</v>
      </c>
    </row>
    <row r="2" ht="24.0" customHeight="1">
      <c r="A2" s="72" t="s">
        <v>909</v>
      </c>
    </row>
    <row r="3" ht="24.0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>
      <c r="A4" s="76" t="s">
        <v>362</v>
      </c>
      <c r="B4" s="76" t="s">
        <v>258</v>
      </c>
      <c r="C4" s="76" t="s">
        <v>910</v>
      </c>
      <c r="D4" s="76" t="s">
        <v>911</v>
      </c>
      <c r="E4" s="76" t="s">
        <v>31</v>
      </c>
      <c r="F4" s="73"/>
      <c r="G4" s="76" t="s">
        <v>912</v>
      </c>
      <c r="H4" s="76" t="s">
        <v>30</v>
      </c>
      <c r="I4" s="76" t="s">
        <v>913</v>
      </c>
      <c r="J4" s="76" t="s">
        <v>31</v>
      </c>
      <c r="K4" s="73"/>
      <c r="L4" s="73"/>
      <c r="M4" s="73"/>
      <c r="N4" s="73"/>
    </row>
    <row r="5">
      <c r="A5" s="73" t="s">
        <v>914</v>
      </c>
      <c r="B5" s="88" t="str">
        <f>COUNTIF('10 Partners'!N4:N303,"Đã ký/active")</f>
        <v>#REF!</v>
      </c>
      <c r="C5" s="89">
        <v>10.0</v>
      </c>
      <c r="D5" s="90">
        <f t="shared" ref="D5:D15" si="1">IFERROR(B5/C5,0)</f>
        <v>0</v>
      </c>
      <c r="E5" s="73" t="s">
        <v>915</v>
      </c>
      <c r="F5" s="73"/>
      <c r="G5" s="73" t="s">
        <v>916</v>
      </c>
      <c r="H5" s="91" t="str">
        <f>SUM('10 Partners'!AA4:AA303)</f>
        <v>#REF!</v>
      </c>
      <c r="I5" s="91" t="str">
        <f>SUM('10 Partners'!AD4:AD303)</f>
        <v>#REF!</v>
      </c>
      <c r="J5" s="73" t="s">
        <v>917</v>
      </c>
      <c r="K5" s="73"/>
      <c r="L5" s="73"/>
      <c r="M5" s="73"/>
      <c r="N5" s="73"/>
    </row>
    <row r="6">
      <c r="A6" s="73" t="s">
        <v>918</v>
      </c>
      <c r="B6" s="88" t="str">
        <f>COUNTIF('11 CTV Product'!K4:K303,"Đã cấp mã")+COUNTIF('11 CTV Product'!K4:K303,"Đã ký/active")</f>
        <v>#REF!</v>
      </c>
      <c r="C6" s="89">
        <v>30.0</v>
      </c>
      <c r="D6" s="90">
        <f t="shared" si="1"/>
        <v>0</v>
      </c>
      <c r="E6" s="73" t="s">
        <v>919</v>
      </c>
      <c r="F6" s="73"/>
      <c r="G6" s="73" t="s">
        <v>920</v>
      </c>
      <c r="H6" s="91" t="str">
        <f>SUM('11 CTV Product'!X4:X303)</f>
        <v>#REF!</v>
      </c>
      <c r="I6" s="91" t="str">
        <f>SUM('11 CTV Product'!AA4:AA303)</f>
        <v>#REF!</v>
      </c>
      <c r="J6" s="73" t="s">
        <v>921</v>
      </c>
      <c r="K6" s="73"/>
      <c r="L6" s="73"/>
      <c r="M6" s="73"/>
      <c r="N6" s="73"/>
    </row>
    <row r="7">
      <c r="A7" s="73" t="s">
        <v>922</v>
      </c>
      <c r="B7" s="88" t="str">
        <f>SUM('10 Partners'!X4:X303)+SUM('11 CTV Product'!U4:U303)</f>
        <v>#REF!</v>
      </c>
      <c r="C7" s="89">
        <v>500.0</v>
      </c>
      <c r="D7" s="90">
        <f t="shared" si="1"/>
        <v>0</v>
      </c>
      <c r="E7" s="73" t="s">
        <v>923</v>
      </c>
      <c r="F7" s="73"/>
      <c r="G7" s="73" t="s">
        <v>924</v>
      </c>
      <c r="H7" s="91" t="str">
        <f>SUM('12 Gift Event'!R4:R203)</f>
        <v>#REF!</v>
      </c>
      <c r="I7" s="91" t="str">
        <f>SUM('12 Gift Event'!I4:I203)+SUM('12 Gift Event'!S4:S203)</f>
        <v>#REF!</v>
      </c>
      <c r="J7" s="73" t="s">
        <v>925</v>
      </c>
      <c r="K7" s="73"/>
      <c r="L7" s="73"/>
      <c r="M7" s="73"/>
      <c r="N7" s="73"/>
    </row>
    <row r="8">
      <c r="A8" s="73" t="s">
        <v>926</v>
      </c>
      <c r="B8" s="88" t="str">
        <f>SUM('10 Partners'!Y4:Y303)+SUM('11 CTV Product'!V4:V303)</f>
        <v>#REF!</v>
      </c>
      <c r="C8" s="89">
        <v>150.0</v>
      </c>
      <c r="D8" s="90">
        <f t="shared" si="1"/>
        <v>0</v>
      </c>
      <c r="E8" s="73" t="s">
        <v>927</v>
      </c>
      <c r="F8" s="73"/>
      <c r="G8" s="73"/>
      <c r="H8" s="73"/>
      <c r="I8" s="73"/>
      <c r="J8" s="73"/>
      <c r="K8" s="73"/>
      <c r="L8" s="73"/>
      <c r="M8" s="73"/>
      <c r="N8" s="73"/>
    </row>
    <row r="9">
      <c r="A9" s="73" t="s">
        <v>928</v>
      </c>
      <c r="B9" s="88" t="str">
        <f>SUM('10 Partners'!Z4:Z303)+SUM('11 CTV Product'!W4:W303)</f>
        <v>#REF!</v>
      </c>
      <c r="C9" s="89">
        <v>600.0</v>
      </c>
      <c r="D9" s="90">
        <f t="shared" si="1"/>
        <v>0</v>
      </c>
      <c r="E9" s="73" t="s">
        <v>929</v>
      </c>
      <c r="F9" s="73"/>
      <c r="G9" s="73"/>
      <c r="H9" s="73"/>
      <c r="I9" s="73"/>
      <c r="J9" s="73"/>
      <c r="K9" s="73"/>
      <c r="L9" s="73"/>
      <c r="M9" s="73"/>
      <c r="N9" s="73"/>
    </row>
    <row r="10">
      <c r="A10" s="73" t="s">
        <v>930</v>
      </c>
      <c r="B10" s="91" t="str">
        <f>SUM('10 Partners'!AA4:AA303)+SUM('11 CTV Product'!X4:X303)</f>
        <v>#REF!</v>
      </c>
      <c r="C10" s="92">
        <v>2.4035E8</v>
      </c>
      <c r="D10" s="90">
        <f t="shared" si="1"/>
        <v>0</v>
      </c>
      <c r="E10" s="73" t="s">
        <v>931</v>
      </c>
      <c r="F10" s="73"/>
      <c r="G10" s="76" t="s">
        <v>932</v>
      </c>
      <c r="H10" s="76" t="s">
        <v>933</v>
      </c>
      <c r="I10" s="76" t="s">
        <v>934</v>
      </c>
      <c r="J10" s="76"/>
      <c r="K10" s="73"/>
      <c r="L10" s="73"/>
      <c r="M10" s="73"/>
      <c r="N10" s="73"/>
    </row>
    <row r="11">
      <c r="A11" s="73" t="s">
        <v>935</v>
      </c>
      <c r="B11" s="91" t="str">
        <f>SUM('10 Partners'!AD4:AD303)+SUM('11 CTV Product'!AA4:AA303)</f>
        <v>#REF!</v>
      </c>
      <c r="C11" s="92">
        <v>5.0E7</v>
      </c>
      <c r="D11" s="90">
        <f t="shared" si="1"/>
        <v>0</v>
      </c>
      <c r="E11" s="73" t="s">
        <v>936</v>
      </c>
      <c r="F11" s="73"/>
      <c r="G11" s="73" t="s">
        <v>937</v>
      </c>
      <c r="H11" s="88" t="str">
        <f>COUNTIF('10 Partners'!N4:N303,"Đã nhận quà")</f>
        <v>#REF!</v>
      </c>
      <c r="I11" s="73" t="s">
        <v>938</v>
      </c>
      <c r="J11" s="73"/>
      <c r="K11" s="73"/>
      <c r="L11" s="73"/>
      <c r="M11" s="73"/>
      <c r="N11" s="73"/>
    </row>
    <row r="12">
      <c r="A12" s="73" t="s">
        <v>939</v>
      </c>
      <c r="B12" s="88" t="str">
        <f>SUM('12 Gift Event'!G4:G203)</f>
        <v>#REF!</v>
      </c>
      <c r="C12" s="93">
        <v>300.0</v>
      </c>
      <c r="D12" s="90">
        <f t="shared" si="1"/>
        <v>0</v>
      </c>
      <c r="E12" s="73" t="s">
        <v>940</v>
      </c>
      <c r="F12" s="73"/>
      <c r="G12" s="73" t="s">
        <v>941</v>
      </c>
      <c r="H12" s="88" t="str">
        <f>COUNTIF('10 Partners'!N4:N303,"Quan tâm")</f>
        <v>#REF!</v>
      </c>
      <c r="I12" s="73" t="s">
        <v>942</v>
      </c>
      <c r="J12" s="73"/>
      <c r="K12" s="73"/>
      <c r="L12" s="73"/>
      <c r="M12" s="73"/>
      <c r="N12" s="73"/>
    </row>
    <row r="13">
      <c r="A13" s="73" t="s">
        <v>943</v>
      </c>
      <c r="B13" s="90">
        <f>IFERROR(SUM('12 Gift Event'!L4:L203)/SUM('12 Gift Event'!G4:G203),0)</f>
        <v>0</v>
      </c>
      <c r="C13" s="94">
        <v>0.5</v>
      </c>
      <c r="D13" s="90">
        <f t="shared" si="1"/>
        <v>0</v>
      </c>
      <c r="E13" s="73" t="s">
        <v>944</v>
      </c>
      <c r="F13" s="73"/>
      <c r="G13" s="73" t="s">
        <v>945</v>
      </c>
      <c r="H13" s="88" t="str">
        <f>COUNTIF('11 CTV Product'!K4:K303,"Đã thử")</f>
        <v>#REF!</v>
      </c>
      <c r="I13" s="73" t="s">
        <v>946</v>
      </c>
      <c r="J13" s="73"/>
      <c r="K13" s="73"/>
      <c r="L13" s="73"/>
      <c r="M13" s="73"/>
      <c r="N13" s="73"/>
    </row>
    <row r="14">
      <c r="A14" s="73" t="s">
        <v>947</v>
      </c>
      <c r="B14" s="90">
        <f>IFERROR(SUM('12 Gift Event'!N4:N203)/SUM('12 Gift Event'!L4:L203),0)</f>
        <v>0</v>
      </c>
      <c r="C14" s="94">
        <v>0.3</v>
      </c>
      <c r="D14" s="90">
        <f t="shared" si="1"/>
        <v>0</v>
      </c>
      <c r="E14" s="73" t="s">
        <v>948</v>
      </c>
      <c r="F14" s="73"/>
      <c r="G14" s="73" t="s">
        <v>949</v>
      </c>
      <c r="H14" s="88" t="str">
        <f>COUNTIF('11 CTV Product'!AF4:AF303,"Chưa thanh toán")</f>
        <v>#REF!</v>
      </c>
      <c r="I14" s="73" t="s">
        <v>950</v>
      </c>
      <c r="J14" s="73"/>
      <c r="K14" s="73"/>
      <c r="L14" s="73"/>
      <c r="M14" s="73"/>
      <c r="N14" s="73"/>
    </row>
    <row r="15">
      <c r="A15" s="73" t="s">
        <v>951</v>
      </c>
      <c r="B15" s="90">
        <f>IFERROR(SUM('12 Gift Event'!T4:T203)/SUM('12 Gift Event'!I4:I203),0)</f>
        <v>0</v>
      </c>
      <c r="C15" s="94">
        <v>1.0</v>
      </c>
      <c r="D15" s="90">
        <f t="shared" si="1"/>
        <v>0</v>
      </c>
      <c r="E15" s="73" t="s">
        <v>952</v>
      </c>
      <c r="F15" s="73"/>
      <c r="G15" s="73"/>
      <c r="H15" s="73"/>
      <c r="I15" s="73"/>
      <c r="J15" s="73"/>
      <c r="K15" s="73"/>
      <c r="L15" s="73"/>
      <c r="M15" s="73"/>
      <c r="N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</row>
    <row r="18">
      <c r="A18" s="74" t="s">
        <v>953</v>
      </c>
    </row>
    <row r="19">
      <c r="A19" s="72" t="s">
        <v>954</v>
      </c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</row>
    <row r="21" ht="15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</row>
    <row r="22" ht="15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</row>
    <row r="23" ht="15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</row>
    <row r="24" ht="15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5" ht="15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</row>
    <row r="26" ht="15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ht="15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</row>
    <row r="28" ht="15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</row>
    <row r="29" ht="15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</row>
    <row r="30" ht="15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</row>
    <row r="31" ht="15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</row>
    <row r="32" ht="15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</row>
    <row r="33" ht="15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</row>
    <row r="34" ht="15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</row>
    <row r="35" ht="15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</row>
    <row r="37" ht="15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</row>
    <row r="38" ht="15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 ht="15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 ht="15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</row>
    <row r="41" ht="15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 ht="15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</row>
    <row r="43" ht="15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</row>
    <row r="44" ht="15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</row>
    <row r="45" ht="15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</row>
    <row r="46" ht="15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</row>
    <row r="47" ht="15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 ht="15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 ht="15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 ht="15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</row>
    <row r="51" ht="15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  <row r="52" ht="15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</row>
    <row r="53" ht="15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1"/>
    <mergeCell ref="A2:N2"/>
    <mergeCell ref="A18:N18"/>
    <mergeCell ref="A19:N19"/>
  </mergeCells>
  <printOptions/>
  <pageMargins bottom="0.75" footer="0.0" header="0.0" left="0.7" right="0.7" top="0.75"/>
  <pageSetup orientation="landscape"/>
  <drawing r:id="rId1"/>
</worksheet>
</file>